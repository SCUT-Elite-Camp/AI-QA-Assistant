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9a697b8af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概览" sheetId="1" r:id="R51e1c0f9aaad46a0"/>
    <x:sheet xmlns:r="http://schemas.openxmlformats.org/officeDocument/2006/relationships" name="测试明细" sheetId="2" r:id="R0e0935a98a394612"/>
    <x:sheet xmlns:r="http://schemas.openxmlformats.org/officeDocument/2006/relationships" name="模块统计" sheetId="3" r:id="Rf296806724ba4287"/>
    <x:sheet xmlns:r="http://schemas.openxmlformats.org/officeDocument/2006/relationships" name="说明" sheetId="4" r:id="R6cd8b7f84584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0"/>
  </x:numFmts>
  <x:fonts count="7">
    <x:font>
      <x:sz val="11"/>
      <x:name val="Carlito"/>
    </x:font>
    <x:font>
      <x:b/>
      <x:sz val="22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2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EAF2FF"/>
      </x:patternFill>
    </x:fill>
  </x:fills>
  <x:borders count="1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97706"/>
      </x:left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left style="thin">
        <x:color rgb="FF2563EB"/>
      </x:left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</x:border>
    <x:border>
      <x:right style="thin">
        <x:color rgb="FF2563EB"/>
      </x:right>
    </x:border>
    <x:border>
      <x:left style="thin">
        <x:color rgb="FF2563EB"/>
      </x:left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/>
    </x:xf>
    <x:xf numFmtId="202" fontId="0" fillId="0" borderId="16" xfId="0" applyNumberFormat="1" applyFont="1" applyFill="1" applyBorder="1" applyAlignment="1">
      <x:alignment vertical="top"/>
    </x:xf>
    <x:xf numFmtId="0" fontId="3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59669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795e437fc4976" /><Relationship Type="http://schemas.openxmlformats.org/officeDocument/2006/relationships/theme" Target="/xl/theme/theme1.xml" Id="R4eaa54859c6c4bc7" /><Relationship Type="http://schemas.openxmlformats.org/officeDocument/2006/relationships/sharedStrings" Target="/xl/sharedStrings.xml" Id="R111f6fd56614492f" /><Relationship Type="http://schemas.openxmlformats.org/officeDocument/2006/relationships/worksheet" Target="/xl/worksheets/sheet1.xml" Id="R51e1c0f9aaad46a0" /><Relationship Type="http://schemas.openxmlformats.org/officeDocument/2006/relationships/worksheet" Target="/xl/worksheets/sheet2.xml" Id="R0e0935a98a394612" /><Relationship Type="http://schemas.openxmlformats.org/officeDocument/2006/relationships/worksheet" Target="/xl/worksheets/sheet3.xml" Id="Rf296806724ba4287" /><Relationship Type="http://schemas.openxmlformats.org/officeDocument/2006/relationships/worksheet" Target="/xl/worksheets/sheet4.xml" Id="R6cd8b7f8458444e4" /><Relationship Type="http://schemas.microsoft.com/office/2017/10/relationships/person" Target="/xl/persons/person.xml" Id="R34026f928f1446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b4634ddef049c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e896c678e2b4f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单元测试结果分布</a:t>
            </a:r>
          </a:p>
        </c:rich>
      </c:tx>
    </c:title>
    <c:plotArea>
      <c:doughnutChart>
        <c:ser>
          <c:idx val="0"/>
          <c:order val="0"/>
          <c:tx>
            <c:v>数量</c:v>
          </c:tx>
          <c:cat>
            <c:strRef>
              <c:f>'总体概览'!$D$6:$D$8</c:f>
              <c:strCache>
                <c:ptCount val="0"/>
              </c:strCache>
            </c:strRef>
          </c:cat>
          <c:val>
            <c:numRef>
              <c:f>'总体概览'!$E$6:$E$8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各模块通过与失败数量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测试数</c:v>
          </c:tx>
          <c:cat>
            <c:strRef>
              <c:f>'模块统计'!$A$2:$A$14</c:f>
              <c:strCache>
                <c:ptCount val="0"/>
              </c:strCache>
            </c:strRef>
          </c:cat>
          <c:val>
            <c:numRef>
              <c:f>'模块统计'!$B$2:$B$14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通过</c:v>
          </c:tx>
          <c:cat>
            <c:strRef>
              <c:f>'模块统计'!$A$2:$A$14</c:f>
              <c:strCache>
                <c:ptCount val="0"/>
              </c:strCache>
            </c:strRef>
          </c:cat>
          <c:val>
            <c:numRef>
              <c:f>'模块统计'!$C$2:$C$14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失败</c:v>
          </c:tx>
          <c:cat>
            <c:strRef>
              <c:f>'模块统计'!$A$2:$A$14</c:f>
              <c:strCache>
                <c:ptCount val="0"/>
              </c:strCache>
            </c:strRef>
          </c:cat>
          <c:val>
            <c:numRef>
              <c:f>'模块统计'!$D$2:$D$14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b4634ddef049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896c678e2b4f4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Fiona" id="{A6957434-B9FA-4F28-97EF-BE3361A7AEB0}"/>
</xltc:personList>
</file>

<file path=xl/tables/table1.xml><?xml version="1.0" encoding="utf-8"?>
<x:table xmlns:x="http://schemas.openxmlformats.org/spreadsheetml/2006/main" id="1" name="UnitTestDetails" displayName="UnitTestDetails" ref="A1:J117" headerRowCount="1" totalsRowCount="0" totalsRowShown="0">
  <x:tableColumns count="10">
    <x:tableColumn id="1" name="序号"/>
    <x:tableColumn id="2" name="模块"/>
    <x:tableColumn id="3" name="测试用例"/>
    <x:tableColumn id="4" name="测试作用"/>
    <x:tableColumn id="5" name="结果"/>
    <x:tableColumn id="6" name="结果含义"/>
    <x:tableColumn id="7" name="耗时（秒）"/>
    <x:tableColumn id="8" name="失败分类"/>
    <x:tableColumn id="9" name="失败摘要"/>
    <x:tableColumn id="10" name="源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tatistics" displayName="ModuleStatistics" ref="A1:F14" headerRowCount="1" totalsRowCount="0" totalsRowShown="0">
  <x:tableColumns count="6">
    <x:tableColumn id="1" name="模块"/>
    <x:tableColumn id="2" name="测试数"/>
    <x:tableColumn id="3" name="通过"/>
    <x:tableColumn id="4" name="失败"/>
    <x:tableColumn id="5" name="通过率"/>
    <x:tableColumn id="6" name="总耗时（秒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d5868ece2845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c56feaebd546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b87050e32ed4da4" /><Relationship Type="http://schemas.openxmlformats.org/officeDocument/2006/relationships/table" Target="/xl/tables/table2.xml" Id="Rf78905b5656f48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Agent 本地单元测试报告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运行环境：D:\miniconda3\envs\htc_project\python.exe  |  测试范围：agent/tests/unit  |  日期：2026-07-27</x:v>
      </x:c>
      <x:c r="B3" s="5"/>
      <x:c r="C3" s="5"/>
      <x:c r="D3" s="5"/>
      <x:c r="E3" s="5"/>
      <x:c r="F3" s="5"/>
      <x:c r="G3" s="5"/>
      <x:c r="H3" s="5"/>
    </x:row>
    <x:row r="5">
      <x:c r="A5" s="14" t="str">
        <x:v>指标</x:v>
      </x:c>
      <x:c r="B5" s="14" t="str">
        <x:v>数值</x:v>
      </x:c>
      <x:c r="D5" s="14" t="str">
        <x:v>结果</x:v>
      </x:c>
      <x:c r="E5" s="14" t="str">
        <x:v>数量</x:v>
      </x:c>
    </x:row>
    <x:row r="6">
      <x:c r="A6" s="16" t="str">
        <x:v>收集测试数</x:v>
      </x:c>
      <x:c r="B6" s="10" t="n">
        <x:f>COUNTA('测试明细'!$C$2:$C$117)</x:f>
        <x:v>116</x:v>
      </x:c>
      <x:c r="D6" s="9" t="str">
        <x:v>通过</x:v>
      </x:c>
      <x:c r="E6" s="9" t="n">
        <x:f>B7</x:f>
        <x:v>113</x:v>
      </x:c>
    </x:row>
    <x:row r="7">
      <x:c r="A7" s="16" t="str">
        <x:v>通过数</x:v>
      </x:c>
      <x:c r="B7" s="10" t="n">
        <x:f>COUNTIF('测试明细'!$E$2:$E$117,"通过")</x:f>
        <x:v>113</x:v>
      </x:c>
      <x:c r="D7" s="9" t="str">
        <x:v>失败</x:v>
      </x:c>
      <x:c r="E7" s="9" t="n">
        <x:f>B8</x:f>
        <x:v>3</x:v>
      </x:c>
    </x:row>
    <x:row r="8">
      <x:c r="A8" s="16" t="str">
        <x:v>失败数</x:v>
      </x:c>
      <x:c r="B8" s="10" t="n">
        <x:f>COUNTIF('测试明细'!$E$2:$E$117,"失败")</x:f>
        <x:v>3</x:v>
      </x:c>
      <x:c r="D8" s="9" t="str">
        <x:v>跳过</x:v>
      </x:c>
      <x:c r="E8" s="9" t="n">
        <x:f>B9</x:f>
        <x:v>0</x:v>
      </x:c>
    </x:row>
    <x:row r="9">
      <x:c r="A9" s="16" t="str">
        <x:v>跳过数</x:v>
      </x:c>
      <x:c r="B9" s="10" t="n">
        <x:f>COUNTIF('测试明细'!$E$2:$E$117,"跳过")</x:f>
        <x:v>0</x:v>
      </x:c>
    </x:row>
    <x:row r="10">
      <x:c r="A10" s="16" t="str">
        <x:v>通过率</x:v>
      </x:c>
      <x:c r="B10" s="11" t="n">
        <x:f>IF(B6=0,0,B7/B6)</x:f>
        <x:v>0.9741379310344828</x:v>
      </x:c>
    </x:row>
    <x:row r="11">
      <x:c r="A11" s="16" t="str">
        <x:v>JUnit 总耗时（秒）</x:v>
      </x:c>
      <x:c r="B11" s="12" t="n">
        <x:f>SUM('测试明细'!$G$2:$G$117)</x:f>
        <x:v>116.15099999999994</x:v>
      </x:c>
    </x:row>
    <x:row r="14">
      <x:c r="A14" s="17" t="str">
        <x:v>关键结论</x:v>
      </x:c>
      <x:c r="B14" s="17"/>
    </x:row>
    <x:row r="15" ht="30" customHeight="1">
      <x:c r="A15" s="32" t="str">
        <x:v>116 项测试中 113 项通过、3 项失败。3 项失败均位于 test_agent.py，原因是测试误触发真实 Embedding 下载：Hugging Face 网络请求受限，ModelScope 缓存目录无写入权限。Query Understanding、QueryPlan、IntentPolicy、ToolRegistryAdapter 等纯组件测试均通过。</x:v>
      </x:c>
      <x:c r="B15" s="33"/>
    </x:row>
    <x:row r="16" ht="30" customHeight="1">
      <x:c r="A16" s="34"/>
      <x:c r="B16" s="35"/>
    </x:row>
    <x:row r="17" ht="30" customHeight="1">
      <x:c r="A17" s="34"/>
      <x:c r="B17" s="35"/>
    </x:row>
    <x:row r="18" ht="30" customHeight="1">
      <x:c r="A18" s="36"/>
      <x:c r="B18" s="37"/>
    </x:row>
    <x:row r="20">
      <x:c r="A20" s="17" t="str">
        <x:v>运行说明</x:v>
      </x:c>
      <x:c r="B20" s="17"/>
    </x:row>
    <x:row r="21" ht="28" customHeight="1">
      <x:c r="A21" s="52" t="str">
        <x:v>pytest 已执行并生成完整 JUnit 结果，但进程在 120 秒时因外部模型下载线程未退出而被终止。测试用例进度已经到达 100%，JUnit 文件包含全部 116 项结果；因此本报告按 JUnit 明细统计，同时将本次运行标记为“测试完成、进程清理超时”。</x:v>
      </x:c>
      <x:c r="B21" s="53"/>
    </x:row>
    <x:row r="22" ht="28" customHeight="1">
      <x:c r="A22" s="54"/>
      <x:c r="B22" s="55"/>
    </x:row>
    <x:row r="23" ht="28" customHeight="1">
      <x:c r="A23" s="54"/>
      <x:c r="B23" s="55"/>
    </x:row>
    <x:row r="24" ht="28" customHeight="1">
      <x:c r="A24" s="56"/>
      <x:c r="B24" s="57"/>
    </x:row>
  </x:sheetData>
  <x:mergeCells>
    <x:mergeCell ref="A1:H2"/>
    <x:mergeCell ref="A3:H3"/>
    <x:mergeCell ref="A14:B14"/>
    <x:mergeCell ref="A15:B18"/>
    <x:mergeCell ref="A20:B20"/>
    <x:mergeCell ref="A21:B24"/>
  </x:mergeCells>
  <x:pageMargins left="0.7" right="0.7" top="0.75" bottom="0.75" header="0.3" footer="0.3"/>
  <x:drawing xmlns:r="http://schemas.openxmlformats.org/officeDocument/2006/relationships" r:id="Ra7d5868ece28457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54" hidden="0" customWidth="1"/>
    <x:col min="4" max="4" width="48" hidden="0" customWidth="1"/>
    <x:col min="5" max="5" width="10" hidden="0" customWidth="1"/>
    <x:col min="6" max="6" width="54" hidden="0" customWidth="1"/>
    <x:col min="7" max="7" width="13" hidden="0" customWidth="1"/>
    <x:col min="8" max="8" width="18" hidden="0" customWidth="1"/>
    <x:col min="9" max="9" width="64" hidden="0" customWidth="1"/>
    <x:col min="10" max="10" width="34" hidden="0" customWidth="1"/>
  </x:cols>
  <x:sheetData>
    <x:row r="1" ht="32" customHeight="1">
      <x:c r="A1" s="61" t="str">
        <x:v>序号</x:v>
      </x:c>
      <x:c r="B1" s="61" t="str">
        <x:v>模块</x:v>
      </x:c>
      <x:c r="C1" s="61" t="str">
        <x:v>测试用例</x:v>
      </x:c>
      <x:c r="D1" s="61" t="str">
        <x:v>测试作用</x:v>
      </x:c>
      <x:c r="E1" s="61" t="str">
        <x:v>结果</x:v>
      </x:c>
      <x:c r="F1" s="61" t="str">
        <x:v>结果含义</x:v>
      </x:c>
      <x:c r="G1" s="61" t="str">
        <x:v>耗时（秒）</x:v>
      </x:c>
      <x:c r="H1" s="61" t="str">
        <x:v>失败分类</x:v>
      </x:c>
      <x:c r="I1" s="61" t="str">
        <x:v>失败摘要</x:v>
      </x:c>
      <x:c r="J1" s="61" t="str">
        <x:v>源文件</x:v>
      </x:c>
    </x:row>
    <x:row r="2" ht="46" customHeight="1">
      <x:c r="A2" s="64" t="n">
        <x:v>1</x:v>
      </x:c>
      <x:c r="B2" s="64" t="str">
        <x:v>test_agent</x:v>
      </x:c>
      <x:c r="C2" s="66" t="str">
        <x:v>test_normal_query_returns_success</x:v>
      </x:c>
      <x:c r="D2" s="66" t="str">
        <x:v>验证正常知识查询能够完成检索、生成答案并返回 success。</x:v>
      </x:c>
      <x:c r="E2" s="66" t="str">
        <x:v>失败</x:v>
      </x:c>
      <x:c r="F2" s="66" t="str">
        <x:v>环境依赖失败：测试在进入目标断言前触发真实 Embedding 初始化，受外部网络和 ModelScope 缓存目录权限影响；不能据此判定对应业务逻辑回归。</x:v>
      </x:c>
      <x:c r="G2" s="68" t="n">
        <x:v>82.89</x:v>
      </x:c>
      <x:c r="H2" s="66" t="str">
        <x:v>环境/外部依赖</x:v>
      </x:c>
      <x:c r="I2" s="66" t="str">
        <x:v>tests\unit\test_agent.py:16: in test_normal_query_returns_success     assert response.status == StatusCode.SUCCESS E   AssertionError: assert 'retrieval_error' == &lt;StatusCode.S...SS: 'success'&gt; E      E     - success</x:v>
      </x:c>
      <x:c r="J2" s="66" t="str">
        <x:v>agent/tests/unit/test_agent.py</x:v>
      </x:c>
    </x:row>
    <x:row r="3" ht="46" customHeight="1">
      <x:c r="A3" s="64" t="n">
        <x:v>2</x:v>
      </x:c>
      <x:c r="B3" s="64" t="str">
        <x:v>test_agent</x:v>
      </x:c>
      <x:c r="C3" s="66" t="str">
        <x:v>test_empty_query_returns_invalid_query</x:v>
      </x:c>
      <x:c r="D3" s="66" t="str">
        <x:v>验证空白问题在入口校验阶段返回 invalid_query。</x:v>
      </x:c>
      <x:c r="E3" s="66" t="str">
        <x:v>通过</x:v>
      </x:c>
      <x:c r="F3" s="66" t="str">
        <x:v>实际行为与测试预期一致，该项能力在本次本地运行中有效。</x:v>
      </x:c>
      <x:c r="G3" s="68" t="n">
        <x:v>0.024</x:v>
      </x:c>
      <x:c r="H3" s="66" t="str">
        <x:v>无</x:v>
      </x:c>
      <x:c r="I3" s="66" t="str"/>
      <x:c r="J3" s="66" t="str">
        <x:v>agent/tests/unit/test_agent.py</x:v>
      </x:c>
    </x:row>
    <x:row r="4" ht="46" customHeight="1">
      <x:c r="A4" s="64" t="n">
        <x:v>3</x:v>
      </x:c>
      <x:c r="B4" s="64" t="str">
        <x:v>test_agent</x:v>
      </x:c>
      <x:c r="C4" s="66" t="str">
        <x:v>test_empty_retrieval_returns_no_relevant_context</x:v>
      </x:c>
      <x:c r="D4" s="66" t="str">
        <x:v>验证检索结果为空时返回 no_relevant_context，而不是生成无依据答案。</x:v>
      </x:c>
      <x:c r="E4" s="66" t="str">
        <x:v>通过</x:v>
      </x:c>
      <x:c r="F4" s="66" t="str">
        <x:v>实际行为与测试预期一致，该项能力在本次本地运行中有效。</x:v>
      </x:c>
      <x:c r="G4" s="68" t="n">
        <x:v>0.019</x:v>
      </x:c>
      <x:c r="H4" s="66" t="str">
        <x:v>无</x:v>
      </x:c>
      <x:c r="I4" s="66" t="str"/>
      <x:c r="J4" s="66" t="str">
        <x:v>agent/tests/unit/test_agent.py</x:v>
      </x:c>
    </x:row>
    <x:row r="5" ht="46" customHeight="1">
      <x:c r="A5" s="64" t="n">
        <x:v>4</x:v>
      </x:c>
      <x:c r="B5" s="64" t="str">
        <x:v>test_agent</x:v>
      </x:c>
      <x:c r="C5" s="66" t="str">
        <x:v>test_retrieval_error_returns_retrieval_error</x:v>
      </x:c>
      <x:c r="D5" s="66" t="str">
        <x:v>验证检索服务异常能够映射为 retrieval_error。</x:v>
      </x:c>
      <x:c r="E5" s="66" t="str">
        <x:v>通过</x:v>
      </x:c>
      <x:c r="F5" s="66" t="str">
        <x:v>实际行为与测试预期一致，该项能力在本次本地运行中有效。</x:v>
      </x:c>
      <x:c r="G5" s="68" t="n">
        <x:v>0.022</x:v>
      </x:c>
      <x:c r="H5" s="66" t="str">
        <x:v>无</x:v>
      </x:c>
      <x:c r="I5" s="66" t="str"/>
      <x:c r="J5" s="66" t="str">
        <x:v>agent/tests/unit/test_agent.py</x:v>
      </x:c>
    </x:row>
    <x:row r="6" ht="46" customHeight="1">
      <x:c r="A6" s="64" t="n">
        <x:v>5</x:v>
      </x:c>
      <x:c r="B6" s="64" t="str">
        <x:v>test_agent</x:v>
      </x:c>
      <x:c r="C6" s="66" t="str">
        <x:v>test_llm_error_returns_llm_error</x:v>
      </x:c>
      <x:c r="D6" s="66" t="str">
        <x:v>验证生成模型异常能够映射为 llm_error。</x:v>
      </x:c>
      <x:c r="E6" s="66" t="str">
        <x:v>失败</x:v>
      </x:c>
      <x:c r="F6" s="66" t="str">
        <x:v>环境依赖失败：测试在进入目标断言前触发真实 Embedding 初始化，受外部网络和 ModelScope 缓存目录权限影响；不能据此判定对应业务逻辑回归。</x:v>
      </x:c>
      <x:c r="G6" s="68" t="n">
        <x:v>16.32</x:v>
      </x:c>
      <x:c r="H6" s="66" t="str">
        <x:v>环境/外部依赖</x:v>
      </x:c>
      <x:c r="I6" s="66" t="str">
        <x:v>tests\unit\test_agent.py:62: in test_llm_error_returns_llm_error     assert response.status == StatusCode.LLM_ERROR E   AssertionError: assert 'retrieval_error' == &lt;StatusCode.L...: 'llm_error'&gt; E      E     - llm_error</x:v>
      </x:c>
      <x:c r="J6" s="66" t="str">
        <x:v>agent/tests/unit/test_agent.py</x:v>
      </x:c>
    </x:row>
    <x:row r="7" ht="46" customHeight="1">
      <x:c r="A7" s="64" t="n">
        <x:v>6</x:v>
      </x:c>
      <x:c r="B7" s="64" t="str">
        <x:v>test_agent</x:v>
      </x:c>
      <x:c r="C7" s="66" t="str">
        <x:v>test_chat_service_passes_week2_retrieval_parameters</x:v>
      </x:c>
      <x:c r="D7" s="66" t="str">
        <x:v>验证 Chat 服务向检索层传递 mode 与 top_k 参数。</x:v>
      </x:c>
      <x:c r="E7" s="66" t="str">
        <x:v>通过</x:v>
      </x:c>
      <x:c r="F7" s="66" t="str">
        <x:v>实际行为与测试预期一致，该项能力在本次本地运行中有效。</x:v>
      </x:c>
      <x:c r="G7" s="68" t="n">
        <x:v>0.019</x:v>
      </x:c>
      <x:c r="H7" s="66" t="str">
        <x:v>无</x:v>
      </x:c>
      <x:c r="I7" s="66" t="str"/>
      <x:c r="J7" s="66" t="str">
        <x:v>agent/tests/unit/test_agent.py</x:v>
      </x:c>
    </x:row>
    <x:row r="8" ht="46" customHeight="1">
      <x:c r="A8" s="64" t="n">
        <x:v>7</x:v>
      </x:c>
      <x:c r="B8" s="64" t="str">
        <x:v>test_agent</x:v>
      </x:c>
      <x:c r="C8" s="66" t="str">
        <x:v>test_low_score_retrieval_returns_no_relevant_context</x:v>
      </x:c>
      <x:c r="D8" s="66" t="str">
        <x:v>验证低于证据阈值的检索结果会被拒绝。</x:v>
      </x:c>
      <x:c r="E8" s="66" t="str">
        <x:v>通过</x:v>
      </x:c>
      <x:c r="F8" s="66" t="str">
        <x:v>实际行为与测试预期一致，该项能力在本次本地运行中有效。</x:v>
      </x:c>
      <x:c r="G8" s="68" t="n">
        <x:v>0.021</x:v>
      </x:c>
      <x:c r="H8" s="66" t="str">
        <x:v>无</x:v>
      </x:c>
      <x:c r="I8" s="66" t="str"/>
      <x:c r="J8" s="66" t="str">
        <x:v>agent/tests/unit/test_agent.py</x:v>
      </x:c>
    </x:row>
    <x:row r="9" ht="46" customHeight="1">
      <x:c r="A9" s="64" t="n">
        <x:v>8</x:v>
      </x:c>
      <x:c r="B9" s="64" t="str">
        <x:v>test_agent</x:v>
      </x:c>
      <x:c r="C9" s="66" t="str">
        <x:v>test_empty_llm_answer_returns_llm_error</x:v>
      </x:c>
      <x:c r="D9" s="66" t="str">
        <x:v>验证模型返回空答案时按 llm_error 处理。</x:v>
      </x:c>
      <x:c r="E9" s="66" t="str">
        <x:v>失败</x:v>
      </x:c>
      <x:c r="F9" s="66" t="str">
        <x:v>环境依赖失败：测试在进入目标断言前触发真实 Embedding 初始化，受外部网络和 ModelScope 缓存目录权限影响；不能据此判定对应业务逻辑回归。</x:v>
      </x:c>
      <x:c r="G9" s="68" t="n">
        <x:v>16.309</x:v>
      </x:c>
      <x:c r="H9" s="66" t="str">
        <x:v>环境/外部依赖</x:v>
      </x:c>
      <x:c r="I9" s="66" t="str">
        <x:v>tests\unit\test_agent.py:128: in test_empty_llm_answer_returns_llm_error     assert response.status == StatusCode.LLM_ERROR E   AssertionError: assert 'retrieval_error' == &lt;StatusCode.L...: 'llm_error'&gt; E      E     - llm_error</x:v>
      </x:c>
      <x:c r="J9" s="66" t="str">
        <x:v>agent/tests/unit/test_agent.py</x:v>
      </x:c>
    </x:row>
    <x:row r="10" ht="46" customHeight="1">
      <x:c r="A10" s="64" t="n">
        <x:v>9</x:v>
      </x:c>
      <x:c r="B10" s="64" t="str">
        <x:v>test_answer_formatter</x:v>
      </x:c>
      <x:c r="C10" s="66" t="str">
        <x:v>test_answer_formatter_generates_citations</x:v>
      </x:c>
      <x:c r="D10" s="66" t="str">
        <x:v>验证答案格式化器能由检索证据生成 Citation。</x:v>
      </x:c>
      <x:c r="E10" s="66" t="str">
        <x:v>通过</x:v>
      </x:c>
      <x:c r="F10" s="66" t="str">
        <x:v>实际行为与测试预期一致，该项能力在本次本地运行中有效。</x:v>
      </x:c>
      <x:c r="G10" s="68" t="n">
        <x:v>0.008</x:v>
      </x:c>
      <x:c r="H10" s="66" t="str">
        <x:v>无</x:v>
      </x:c>
      <x:c r="I10" s="66" t="str"/>
      <x:c r="J10" s="66" t="str">
        <x:v>agent/tests/unit/test_answer_formatter.py</x:v>
      </x:c>
    </x:row>
    <x:row r="11" ht="46" customHeight="1">
      <x:c r="A11" s="64" t="n">
        <x:v>10</x:v>
      </x:c>
      <x:c r="B11" s="64" t="str">
        <x:v>test_answer_formatter</x:v>
      </x:c>
      <x:c r="C11" s="66" t="str">
        <x:v>test_answer_formatter_adds_reference_when_missing</x:v>
      </x:c>
      <x:c r="D11" s="66" t="str">
        <x:v>验证答案缺少引用标记时能够补充引用。</x:v>
      </x:c>
      <x:c r="E11" s="66" t="str">
        <x:v>通过</x:v>
      </x:c>
      <x:c r="F11" s="66" t="str">
        <x:v>实际行为与测试预期一致，该项能力在本次本地运行中有效。</x:v>
      </x:c>
      <x:c r="G11" s="68" t="n">
        <x:v>0.005</x:v>
      </x:c>
      <x:c r="H11" s="66" t="str">
        <x:v>无</x:v>
      </x:c>
      <x:c r="I11" s="66" t="str"/>
      <x:c r="J11" s="66" t="str">
        <x:v>agent/tests/unit/test_answer_formatter.py</x:v>
      </x:c>
    </x:row>
    <x:row r="12" ht="46" customHeight="1">
      <x:c r="A12" s="64" t="n">
        <x:v>11</x:v>
      </x:c>
      <x:c r="B12" s="64" t="str">
        <x:v>test_answer_formatter</x:v>
      </x:c>
      <x:c r="C12" s="66" t="str">
        <x:v>test_answer_formatter_removes_invalid_reference</x:v>
      </x:c>
      <x:c r="D12" s="66" t="str">
        <x:v>验证答案中的无效引用编号会被移除。</x:v>
      </x:c>
      <x:c r="E12" s="66" t="str">
        <x:v>通过</x:v>
      </x:c>
      <x:c r="F12" s="66" t="str">
        <x:v>实际行为与测试预期一致，该项能力在本次本地运行中有效。</x:v>
      </x:c>
      <x:c r="G12" s="68" t="n">
        <x:v>0.006</x:v>
      </x:c>
      <x:c r="H12" s="66" t="str">
        <x:v>无</x:v>
      </x:c>
      <x:c r="I12" s="66" t="str"/>
      <x:c r="J12" s="66" t="str">
        <x:v>agent/tests/unit/test_answer_formatter.py</x:v>
      </x:c>
    </x:row>
    <x:row r="13" ht="46" customHeight="1">
      <x:c r="A13" s="64" t="n">
        <x:v>12</x:v>
      </x:c>
      <x:c r="B13" s="64" t="str">
        <x:v>test_clarification</x:v>
      </x:c>
      <x:c r="C13" s="66" t="str">
        <x:v>test_ambiguous_query_requires_clarification</x:v>
      </x:c>
      <x:c r="D13" s="66" t="str">
        <x:v>验证缺少必要对象的模糊问题会要求澄清。</x:v>
      </x:c>
      <x:c r="E13" s="66" t="str">
        <x:v>通过</x:v>
      </x:c>
      <x:c r="F13" s="66" t="str">
        <x:v>实际行为与测试预期一致，该项能力在本次本地运行中有效。</x:v>
      </x:c>
      <x:c r="G13" s="68" t="n">
        <x:v>0.004</x:v>
      </x:c>
      <x:c r="H13" s="66" t="str">
        <x:v>无</x:v>
      </x:c>
      <x:c r="I13" s="66" t="str"/>
      <x:c r="J13" s="66" t="str">
        <x:v>agent/tests/unit/test_clarification.py</x:v>
      </x:c>
    </x:row>
    <x:row r="14" ht="46" customHeight="1">
      <x:c r="A14" s="64" t="n">
        <x:v>13</x:v>
      </x:c>
      <x:c r="B14" s="64" t="str">
        <x:v>test_clarification</x:v>
      </x:c>
      <x:c r="C14" s="66" t="str">
        <x:v>test_clear_short_query_does_not_require_clarification</x:v>
      </x:c>
      <x:c r="D14" s="66" t="str">
        <x:v>验证简短但含义明确的问题不会被过度澄清。</x:v>
      </x:c>
      <x:c r="E14" s="66" t="str">
        <x:v>通过</x:v>
      </x:c>
      <x:c r="F14" s="66" t="str">
        <x:v>实际行为与测试预期一致，该项能力在本次本地运行中有效。</x:v>
      </x:c>
      <x:c r="G14" s="68" t="n">
        <x:v>0.003</x:v>
      </x:c>
      <x:c r="H14" s="66" t="str">
        <x:v>无</x:v>
      </x:c>
      <x:c r="I14" s="66" t="str"/>
      <x:c r="J14" s="66" t="str">
        <x:v>agent/tests/unit/test_clarification.py</x:v>
      </x:c>
    </x:row>
    <x:row r="15" ht="46" customHeight="1">
      <x:c r="A15" s="64" t="n">
        <x:v>14</x:v>
      </x:c>
      <x:c r="B15" s="64" t="str">
        <x:v>test_clarification</x:v>
      </x:c>
      <x:c r="C15" s="66" t="str">
        <x:v>test_history_can_resolve_reference_without_clarification</x:v>
      </x:c>
      <x:c r="D15" s="66" t="str">
        <x:v>验证历史能够消除指代时无需向用户澄清。</x:v>
      </x:c>
      <x:c r="E15" s="66" t="str">
        <x:v>通过</x:v>
      </x:c>
      <x:c r="F15" s="66" t="str">
        <x:v>实际行为与测试预期一致，该项能力在本次本地运行中有效。</x:v>
      </x:c>
      <x:c r="G15" s="68" t="n">
        <x:v>0.006</x:v>
      </x:c>
      <x:c r="H15" s="66" t="str">
        <x:v>无</x:v>
      </x:c>
      <x:c r="I15" s="66" t="str"/>
      <x:c r="J15" s="66" t="str">
        <x:v>agent/tests/unit/test_clarification.py</x:v>
      </x:c>
    </x:row>
    <x:row r="16" ht="46" customHeight="1">
      <x:c r="A16" s="64" t="n">
        <x:v>15</x:v>
      </x:c>
      <x:c r="B16" s="64" t="str">
        <x:v>test_clarification</x:v>
      </x:c>
      <x:c r="C16" s="66" t="str">
        <x:v>test_false_decision_discards_unneeded_question</x:v>
      </x:c>
      <x:c r="D16" s="66" t="str">
        <x:v>验证不需要澄清时会清空多余的澄清问题。</x:v>
      </x:c>
      <x:c r="E16" s="66" t="str">
        <x:v>通过</x:v>
      </x:c>
      <x:c r="F16" s="66" t="str">
        <x:v>实际行为与测试预期一致，该项能力在本次本地运行中有效。</x:v>
      </x:c>
      <x:c r="G16" s="68" t="n">
        <x:v>0.007</x:v>
      </x:c>
      <x:c r="H16" s="66" t="str">
        <x:v>无</x:v>
      </x:c>
      <x:c r="I16" s="66" t="str"/>
      <x:c r="J16" s="66" t="str">
        <x:v>agent/tests/unit/test_clarification.py</x:v>
      </x:c>
    </x:row>
    <x:row r="17" ht="46" customHeight="1">
      <x:c r="A17" s="64" t="n">
        <x:v>16</x:v>
      </x:c>
      <x:c r="B17" s="64" t="str">
        <x:v>test_clarification</x:v>
      </x:c>
      <x:c r="C17" s="66" t="str">
        <x:v>test_prompt_contains_only_supported_history_messages</x:v>
      </x:c>
      <x:c r="D17" s="66" t="str">
        <x:v>验证发送给模型的历史只保留受支持角色和字符串内容。</x:v>
      </x:c>
      <x:c r="E17" s="66" t="str">
        <x:v>通过</x:v>
      </x:c>
      <x:c r="F17" s="66" t="str">
        <x:v>实际行为与测试预期一致，该项能力在本次本地运行中有效。</x:v>
      </x:c>
      <x:c r="G17" s="68" t="n">
        <x:v>0.005</x:v>
      </x:c>
      <x:c r="H17" s="66" t="str">
        <x:v>无</x:v>
      </x:c>
      <x:c r="I17" s="66" t="str"/>
      <x:c r="J17" s="66" t="str">
        <x:v>agent/tests/unit/test_clarification.py</x:v>
      </x:c>
    </x:row>
    <x:row r="18" ht="46" customHeight="1">
      <x:c r="A18" s="64" t="n">
        <x:v>17</x:v>
      </x:c>
      <x:c r="B18" s="64" t="str">
        <x:v>test_clarification</x:v>
      </x:c>
      <x:c r="C18" s="66" t="str">
        <x:v>test_markdown_json_response_is_accepted</x:v>
      </x:c>
      <x:c r="D18" s="66" t="str">
        <x:v>验证组件能够解析 Markdown 代码块中的 JSON。</x:v>
      </x:c>
      <x:c r="E18" s="66" t="str">
        <x:v>通过</x:v>
      </x:c>
      <x:c r="F18" s="66" t="str">
        <x:v>实际行为与测试预期一致，该项能力在本次本地运行中有效。</x:v>
      </x:c>
      <x:c r="G18" s="68" t="n">
        <x:v>0.003</x:v>
      </x:c>
      <x:c r="H18" s="66" t="str">
        <x:v>无</x:v>
      </x:c>
      <x:c r="I18" s="66" t="str"/>
      <x:c r="J18" s="66" t="str">
        <x:v>agent/tests/unit/test_clarification.py</x:v>
      </x:c>
    </x:row>
    <x:row r="19" ht="46" customHeight="1">
      <x:c r="A19" s="64" t="n">
        <x:v>18</x:v>
      </x:c>
      <x:c r="B19" s="64" t="str">
        <x:v>test_clarification</x:v>
      </x:c>
      <x:c r="C19" s="66" t="str">
        <x:v>test_invalid_model_response_continues_without_clarification[response0]</x:v>
      </x:c>
      <x:c r="D19" s="66" t="str">
        <x:v>验证 Clarifier 收到无效模型输出时安全降级为继续处理。</x:v>
      </x:c>
      <x:c r="E19" s="66" t="str">
        <x:v>通过</x:v>
      </x:c>
      <x:c r="F19" s="66" t="str">
        <x:v>实际行为与测试预期一致，该项能力在本次本地运行中有效。</x:v>
      </x:c>
      <x:c r="G19" s="68" t="n">
        <x:v>0.005</x:v>
      </x:c>
      <x:c r="H19" s="66" t="str">
        <x:v>无</x:v>
      </x:c>
      <x:c r="I19" s="66" t="str"/>
      <x:c r="J19" s="66" t="str">
        <x:v>agent/tests/unit/test_clarification.py</x:v>
      </x:c>
    </x:row>
    <x:row r="20" ht="46" customHeight="1">
      <x:c r="A20" s="64" t="n">
        <x:v>19</x:v>
      </x:c>
      <x:c r="B20" s="64" t="str">
        <x:v>test_clarification</x:v>
      </x:c>
      <x:c r="C20" s="66" t="str">
        <x:v>test_invalid_model_response_continues_without_clarification[response1]</x:v>
      </x:c>
      <x:c r="D20" s="66" t="str">
        <x:v>验证 Clarifier 收到无效模型输出时安全降级为继续处理。</x:v>
      </x:c>
      <x:c r="E20" s="66" t="str">
        <x:v>通过</x:v>
      </x:c>
      <x:c r="F20" s="66" t="str">
        <x:v>实际行为与测试预期一致，该项能力在本次本地运行中有效。</x:v>
      </x:c>
      <x:c r="G20" s="68" t="n">
        <x:v>0.006</x:v>
      </x:c>
      <x:c r="H20" s="66" t="str">
        <x:v>无</x:v>
      </x:c>
      <x:c r="I20" s="66" t="str"/>
      <x:c r="J20" s="66" t="str">
        <x:v>agent/tests/unit/test_clarification.py</x:v>
      </x:c>
    </x:row>
    <x:row r="21" ht="46" customHeight="1">
      <x:c r="A21" s="64" t="n">
        <x:v>20</x:v>
      </x:c>
      <x:c r="B21" s="64" t="str">
        <x:v>test_clarification</x:v>
      </x:c>
      <x:c r="C21" s="66" t="str">
        <x:v>test_invalid_model_response_continues_without_clarification[response2]</x:v>
      </x:c>
      <x:c r="D21" s="66" t="str">
        <x:v>验证 Clarifier 收到无效模型输出时安全降级为继续处理。</x:v>
      </x:c>
      <x:c r="E21" s="66" t="str">
        <x:v>通过</x:v>
      </x:c>
      <x:c r="F21" s="66" t="str">
        <x:v>实际行为与测试预期一致，该项能力在本次本地运行中有效。</x:v>
      </x:c>
      <x:c r="G21" s="68" t="n">
        <x:v>0.004</x:v>
      </x:c>
      <x:c r="H21" s="66" t="str">
        <x:v>无</x:v>
      </x:c>
      <x:c r="I21" s="66" t="str"/>
      <x:c r="J21" s="66" t="str">
        <x:v>agent/tests/unit/test_clarification.py</x:v>
      </x:c>
    </x:row>
    <x:row r="22" ht="46" customHeight="1">
      <x:c r="A22" s="64" t="n">
        <x:v>21</x:v>
      </x:c>
      <x:c r="B22" s="64" t="str">
        <x:v>test_clarification</x:v>
      </x:c>
      <x:c r="C22" s="66" t="str">
        <x:v>test_invalid_model_response_continues_without_clarification[response3]</x:v>
      </x:c>
      <x:c r="D22" s="66" t="str">
        <x:v>验证 Clarifier 收到无效模型输出时安全降级为继续处理。</x:v>
      </x:c>
      <x:c r="E22" s="66" t="str">
        <x:v>通过</x:v>
      </x:c>
      <x:c r="F22" s="66" t="str">
        <x:v>实际行为与测试预期一致，该项能力在本次本地运行中有效。</x:v>
      </x:c>
      <x:c r="G22" s="68" t="n">
        <x:v>0.005</x:v>
      </x:c>
      <x:c r="H22" s="66" t="str">
        <x:v>无</x:v>
      </x:c>
      <x:c r="I22" s="66" t="str"/>
      <x:c r="J22" s="66" t="str">
        <x:v>agent/tests/unit/test_clarification.py</x:v>
      </x:c>
    </x:row>
    <x:row r="23" ht="46" customHeight="1">
      <x:c r="A23" s="64" t="n">
        <x:v>22</x:v>
      </x:c>
      <x:c r="B23" s="64" t="str">
        <x:v>test_clarification</x:v>
      </x:c>
      <x:c r="C23" s="66" t="str">
        <x:v>test_invalid_model_response_continues_without_clarification[response4]</x:v>
      </x:c>
      <x:c r="D23" s="66" t="str">
        <x:v>验证 Clarifier 收到无效模型输出时安全降级为继续处理。</x:v>
      </x:c>
      <x:c r="E23" s="66" t="str">
        <x:v>通过</x:v>
      </x:c>
      <x:c r="F23" s="66" t="str">
        <x:v>实际行为与测试预期一致，该项能力在本次本地运行中有效。</x:v>
      </x:c>
      <x:c r="G23" s="68" t="n">
        <x:v>0.007</x:v>
      </x:c>
      <x:c r="H23" s="66" t="str">
        <x:v>无</x:v>
      </x:c>
      <x:c r="I23" s="66" t="str"/>
      <x:c r="J23" s="66" t="str">
        <x:v>agent/tests/unit/test_clarification.py</x:v>
      </x:c>
    </x:row>
    <x:row r="24" ht="46" customHeight="1">
      <x:c r="A24" s="64" t="n">
        <x:v>23</x:v>
      </x:c>
      <x:c r="B24" s="64" t="str">
        <x:v>test_clarification</x:v>
      </x:c>
      <x:c r="C24" s="66" t="str">
        <x:v>test_invalid_model_response_continues_without_clarification[response5]</x:v>
      </x:c>
      <x:c r="D24" s="66" t="str">
        <x:v>验证 Clarifier 收到无效模型输出时安全降级为继续处理。</x:v>
      </x:c>
      <x:c r="E24" s="66" t="str">
        <x:v>通过</x:v>
      </x:c>
      <x:c r="F24" s="66" t="str">
        <x:v>实际行为与测试预期一致，该项能力在本次本地运行中有效。</x:v>
      </x:c>
      <x:c r="G24" s="68" t="n">
        <x:v>0.008</x:v>
      </x:c>
      <x:c r="H24" s="66" t="str">
        <x:v>无</x:v>
      </x:c>
      <x:c r="I24" s="66" t="str"/>
      <x:c r="J24" s="66" t="str">
        <x:v>agent/tests/unit/test_clarification.py</x:v>
      </x:c>
    </x:row>
    <x:row r="25" ht="46" customHeight="1">
      <x:c r="A25" s="64" t="n">
        <x:v>24</x:v>
      </x:c>
      <x:c r="B25" s="64" t="str">
        <x:v>test_clarification</x:v>
      </x:c>
      <x:c r="C25" s="66" t="str">
        <x:v>test_llm_error_continues_without_clarification</x:v>
      </x:c>
      <x:c r="D25" s="66" t="str">
        <x:v>验证 Clarifier 调用模型失败时不会阻塞全部请求。</x:v>
      </x:c>
      <x:c r="E25" s="66" t="str">
        <x:v>通过</x:v>
      </x:c>
      <x:c r="F25" s="66" t="str">
        <x:v>实际行为与测试预期一致，该项能力在本次本地运行中有效。</x:v>
      </x:c>
      <x:c r="G25" s="68" t="n">
        <x:v>0.007</x:v>
      </x:c>
      <x:c r="H25" s="66" t="str">
        <x:v>无</x:v>
      </x:c>
      <x:c r="I25" s="66" t="str"/>
      <x:c r="J25" s="66" t="str">
        <x:v>agent/tests/unit/test_clarification.py</x:v>
      </x:c>
    </x:row>
    <x:row r="26" ht="46" customHeight="1">
      <x:c r="A26" s="64" t="n">
        <x:v>25</x:v>
      </x:c>
      <x:c r="B26" s="64" t="str">
        <x:v>test_clarification</x:v>
      </x:c>
      <x:c r="C26" s="66" t="str">
        <x:v>test_disabled_clarifier_does_not_call_llm</x:v>
      </x:c>
      <x:c r="D26" s="66" t="str">
        <x:v>验证关闭澄清功能后不会调用 LLM。</x:v>
      </x:c>
      <x:c r="E26" s="66" t="str">
        <x:v>通过</x:v>
      </x:c>
      <x:c r="F26" s="66" t="str">
        <x:v>实际行为与测试预期一致，该项能力在本次本地运行中有效。</x:v>
      </x:c>
      <x:c r="G26" s="68" t="n">
        <x:v>0.003</x:v>
      </x:c>
      <x:c r="H26" s="66" t="str">
        <x:v>无</x:v>
      </x:c>
      <x:c r="I26" s="66" t="str"/>
      <x:c r="J26" s="66" t="str">
        <x:v>agent/tests/unit/test_clarification.py</x:v>
      </x:c>
    </x:row>
    <x:row r="27" ht="46" customHeight="1">
      <x:c r="A27" s="64" t="n">
        <x:v>26</x:v>
      </x:c>
      <x:c r="B27" s="64" t="str">
        <x:v>test_clarification</x:v>
      </x:c>
      <x:c r="C27" s="66" t="str">
        <x:v>test_empty_query_is_left_for_request_validation</x:v>
      </x:c>
      <x:c r="D27" s="66" t="str">
        <x:v>验证空问题留给请求入口统一校验。</x:v>
      </x:c>
      <x:c r="E27" s="66" t="str">
        <x:v>通过</x:v>
      </x:c>
      <x:c r="F27" s="66" t="str">
        <x:v>实际行为与测试预期一致，该项能力在本次本地运行中有效。</x:v>
      </x:c>
      <x:c r="G27" s="68" t="n">
        <x:v>0.007</x:v>
      </x:c>
      <x:c r="H27" s="66" t="str">
        <x:v>无</x:v>
      </x:c>
      <x:c r="I27" s="66" t="str"/>
      <x:c r="J27" s="66" t="str">
        <x:v>agent/tests/unit/test_clarification.py</x:v>
      </x:c>
    </x:row>
    <x:row r="28" ht="46" customHeight="1">
      <x:c r="A28" s="64" t="n">
        <x:v>27</x:v>
      </x:c>
      <x:c r="B28" s="64" t="str">
        <x:v>test_clarification</x:v>
      </x:c>
      <x:c r="C28" s="66" t="str">
        <x:v>test_clarification_status_code_is_available</x:v>
      </x:c>
      <x:c r="D28" s="66" t="str">
        <x:v>验证 clarification_required 状态码已经公开。</x:v>
      </x:c>
      <x:c r="E28" s="66" t="str">
        <x:v>通过</x:v>
      </x:c>
      <x:c r="F28" s="66" t="str">
        <x:v>实际行为与测试预期一致，该项能力在本次本地运行中有效。</x:v>
      </x:c>
      <x:c r="G28" s="68" t="n">
        <x:v>0.008</x:v>
      </x:c>
      <x:c r="H28" s="66" t="str">
        <x:v>无</x:v>
      </x:c>
      <x:c r="I28" s="66" t="str"/>
      <x:c r="J28" s="66" t="str">
        <x:v>agent/tests/unit/test_clarification.py</x:v>
      </x:c>
    </x:row>
    <x:row r="29" ht="46" customHeight="1">
      <x:c r="A29" s="64" t="n">
        <x:v>28</x:v>
      </x:c>
      <x:c r="B29" s="64" t="str">
        <x:v>test_intent_classifier</x:v>
      </x:c>
      <x:c r="C29" s="66" t="str">
        <x:v>test_classifier_supports_frozen_intent_taxonomy[CP2 的目标是什么？-knowledge_qa]</x:v>
      </x:c>
      <x:c r="D29" s="66" t="str">
        <x:v>验证 IntentClassifier 能输出冻结的七类 QueryIntent。</x:v>
      </x:c>
      <x:c r="E29" s="66" t="str">
        <x:v>通过</x:v>
      </x:c>
      <x:c r="F29" s="66" t="str">
        <x:v>实际行为与测试预期一致，该项能力在本次本地运行中有效。</x:v>
      </x:c>
      <x:c r="G29" s="68" t="n">
        <x:v>0.008</x:v>
      </x:c>
      <x:c r="H29" s="66" t="str">
        <x:v>无</x:v>
      </x:c>
      <x:c r="I29" s="66" t="str"/>
      <x:c r="J29" s="66" t="str">
        <x:v>agent/tests/unit/test_intent_classifier.py</x:v>
      </x:c>
    </x:row>
    <x:row r="30" ht="46" customHeight="1">
      <x:c r="A30" s="64" t="n">
        <x:v>29</x:v>
      </x:c>
      <x:c r="B30" s="64" t="str">
        <x:v>test_intent_classifier</x:v>
      </x:c>
      <x:c r="C30" s="66" t="str">
        <x:v>test_classifier_supports_frozen_intent_taxonomy[帮我找 CP2 分工文档-document_search]</x:v>
      </x:c>
      <x:c r="D30" s="66" t="str">
        <x:v>验证 IntentClassifier 能输出冻结的七类 QueryIntent。</x:v>
      </x:c>
      <x:c r="E30" s="66" t="str">
        <x:v>通过</x:v>
      </x:c>
      <x:c r="F30" s="66" t="str">
        <x:v>实际行为与测试预期一致，该项能力在本次本地运行中有效。</x:v>
      </x:c>
      <x:c r="G30" s="68" t="n">
        <x:v>0.004</x:v>
      </x:c>
      <x:c r="H30" s="66" t="str">
        <x:v>无</x:v>
      </x:c>
      <x:c r="I30" s="66" t="str"/>
      <x:c r="J30" s="66" t="str">
        <x:v>agent/tests/unit/test_intent_classifier.py</x:v>
      </x:c>
    </x:row>
    <x:row r="31" ht="46" customHeight="1">
      <x:c r="A31" s="64" t="n">
        <x:v>30</x:v>
      </x:c>
      <x:c r="B31" s="64" t="str">
        <x:v>test_intent_classifier</x:v>
      </x:c>
      <x:c r="C31" s="66" t="str">
        <x:v>test_classifier_supports_frozen_intent_taxonomy[总结一下这份计划-summarization]</x:v>
      </x:c>
      <x:c r="D31" s="66" t="str">
        <x:v>验证 IntentClassifier 能输出冻结的七类 QueryIntent。</x:v>
      </x:c>
      <x:c r="E31" s="66" t="str">
        <x:v>通过</x:v>
      </x:c>
      <x:c r="F31" s="66" t="str">
        <x:v>实际行为与测试预期一致，该项能力在本次本地运行中有效。</x:v>
      </x:c>
      <x:c r="G31" s="68" t="n">
        <x:v>0.006</x:v>
      </x:c>
      <x:c r="H31" s="66" t="str">
        <x:v>无</x:v>
      </x:c>
      <x:c r="I31" s="66" t="str"/>
      <x:c r="J31" s="66" t="str">
        <x:v>agent/tests/unit/test_intent_classifier.py</x:v>
      </x:c>
    </x:row>
    <x:row r="32" ht="46" customHeight="1">
      <x:c r="A32" s="64" t="n">
        <x:v>31</x:v>
      </x:c>
      <x:c r="B32" s="64" t="str">
        <x:v>test_intent_classifier</x:v>
      </x:c>
      <x:c r="C32" s="66" t="str">
        <x:v>test_classifier_supports_frozen_intent_taxonomy[比较 CP1 和 CP2-comparison]</x:v>
      </x:c>
      <x:c r="D32" s="66" t="str">
        <x:v>验证 IntentClassifier 能输出冻结的七类 QueryIntent。</x:v>
      </x:c>
      <x:c r="E32" s="66" t="str">
        <x:v>通过</x:v>
      </x:c>
      <x:c r="F32" s="66" t="str">
        <x:v>实际行为与测试预期一致，该项能力在本次本地运行中有效。</x:v>
      </x:c>
      <x:c r="G32" s="68" t="n">
        <x:v>0.006</x:v>
      </x:c>
      <x:c r="H32" s="66" t="str">
        <x:v>无</x:v>
      </x:c>
      <x:c r="I32" s="66" t="str"/>
      <x:c r="J32" s="66" t="str">
        <x:v>agent/tests/unit/test_intent_classifier.py</x:v>
      </x:c>
    </x:row>
    <x:row r="33" ht="46" customHeight="1">
      <x:c r="A33" s="64" t="n">
        <x:v>32</x:v>
      </x:c>
      <x:c r="B33" s="64" t="str">
        <x:v>test_intent_classifier</x:v>
      </x:c>
      <x:c r="C33" s="66" t="str">
        <x:v>test_classifier_supports_frozen_intent_taxonomy[你好-casual_chat]</x:v>
      </x:c>
      <x:c r="D33" s="66" t="str">
        <x:v>验证 IntentClassifier 能输出冻结的七类 QueryIntent。</x:v>
      </x:c>
      <x:c r="E33" s="66" t="str">
        <x:v>通过</x:v>
      </x:c>
      <x:c r="F33" s="66" t="str">
        <x:v>实际行为与测试预期一致，该项能力在本次本地运行中有效。</x:v>
      </x:c>
      <x:c r="G33" s="68" t="n">
        <x:v>0.003</x:v>
      </x:c>
      <x:c r="H33" s="66" t="str">
        <x:v>无</x:v>
      </x:c>
      <x:c r="I33" s="66" t="str"/>
      <x:c r="J33" s="66" t="str">
        <x:v>agent/tests/unit/test_intent_classifier.py</x:v>
      </x:c>
    </x:row>
    <x:row r="34" ht="46" customHeight="1">
      <x:c r="A34" s="64" t="n">
        <x:v>33</x:v>
      </x:c>
      <x:c r="B34" s="64" t="str">
        <x:v>test_intent_classifier</x:v>
      </x:c>
      <x:c r="C34" s="66" t="str">
        <x:v>test_classifier_supports_frozen_intent_taxonomy[这个系统支持什么功能？-system_help]</x:v>
      </x:c>
      <x:c r="D34" s="66" t="str">
        <x:v>验证 IntentClassifier 能输出冻结的七类 QueryIntent。</x:v>
      </x:c>
      <x:c r="E34" s="66" t="str">
        <x:v>通过</x:v>
      </x:c>
      <x:c r="F34" s="66" t="str">
        <x:v>实际行为与测试预期一致，该项能力在本次本地运行中有效。</x:v>
      </x:c>
      <x:c r="G34" s="68" t="n">
        <x:v>0.005</x:v>
      </x:c>
      <x:c r="H34" s="66" t="str">
        <x:v>无</x:v>
      </x:c>
      <x:c r="I34" s="66" t="str"/>
      <x:c r="J34" s="66" t="str">
        <x:v>agent/tests/unit/test_intent_classifier.py</x:v>
      </x:c>
    </x:row>
    <x:row r="35" ht="46" customHeight="1">
      <x:c r="A35" s="64" t="n">
        <x:v>34</x:v>
      </x:c>
      <x:c r="B35" s="64" t="str">
        <x:v>test_intent_classifier</x:v>
      </x:c>
      <x:c r="C35" s="66" t="str">
        <x:v>test_classifier_supports_frozen_intent_taxonomy[帮我修改银行账户余额-unsupported]</x:v>
      </x:c>
      <x:c r="D35" s="66" t="str">
        <x:v>验证 IntentClassifier 能输出冻结的七类 QueryIntent。</x:v>
      </x:c>
      <x:c r="E35" s="66" t="str">
        <x:v>通过</x:v>
      </x:c>
      <x:c r="F35" s="66" t="str">
        <x:v>实际行为与测试预期一致，该项能力在本次本地运行中有效。</x:v>
      </x:c>
      <x:c r="G35" s="68" t="n">
        <x:v>0.003</x:v>
      </x:c>
      <x:c r="H35" s="66" t="str">
        <x:v>无</x:v>
      </x:c>
      <x:c r="I35" s="66" t="str"/>
      <x:c r="J35" s="66" t="str">
        <x:v>agent/tests/unit/test_intent_classifier.py</x:v>
      </x:c>
    </x:row>
    <x:row r="36" ht="46" customHeight="1">
      <x:c r="A36" s="64" t="n">
        <x:v>35</x:v>
      </x:c>
      <x:c r="B36" s="64" t="str">
        <x:v>test_intent_classifier</x:v>
      </x:c>
      <x:c r="C36" s="66" t="str">
        <x:v>test_classifier_returns_follow_up_flags</x:v>
      </x:c>
      <x:c r="D36" s="66" t="str">
        <x:v>验证意图识别能够标记上下文追问。</x:v>
      </x:c>
      <x:c r="E36" s="66" t="str">
        <x:v>通过</x:v>
      </x:c>
      <x:c r="F36" s="66" t="str">
        <x:v>实际行为与测试预期一致，该项能力在本次本地运行中有效。</x:v>
      </x:c>
      <x:c r="G36" s="68" t="n">
        <x:v>0.005</x:v>
      </x:c>
      <x:c r="H36" s="66" t="str">
        <x:v>无</x:v>
      </x:c>
      <x:c r="I36" s="66" t="str"/>
      <x:c r="J36" s="66" t="str">
        <x:v>agent/tests/unit/test_intent_classifier.py</x:v>
      </x:c>
    </x:row>
    <x:row r="37" ht="46" customHeight="1">
      <x:c r="A37" s="64" t="n">
        <x:v>36</x:v>
      </x:c>
      <x:c r="B37" s="64" t="str">
        <x:v>test_intent_classifier</x:v>
      </x:c>
      <x:c r="C37" s="66" t="str">
        <x:v>test_classifier_can_mark_possible_clarification_reply</x:v>
      </x:c>
      <x:c r="D37" s="66" t="str">
        <x:v>验证意图识别能够标记可能的澄清回复。</x:v>
      </x:c>
      <x:c r="E37" s="66" t="str">
        <x:v>通过</x:v>
      </x:c>
      <x:c r="F37" s="66" t="str">
        <x:v>实际行为与测试预期一致，该项能力在本次本地运行中有效。</x:v>
      </x:c>
      <x:c r="G37" s="68" t="n">
        <x:v>0.003</x:v>
      </x:c>
      <x:c r="H37" s="66" t="str">
        <x:v>无</x:v>
      </x:c>
      <x:c r="I37" s="66" t="str"/>
      <x:c r="J37" s="66" t="str">
        <x:v>agent/tests/unit/test_intent_classifier.py</x:v>
      </x:c>
    </x:row>
    <x:row r="38" ht="46" customHeight="1">
      <x:c r="A38" s="64" t="n">
        <x:v>37</x:v>
      </x:c>
      <x:c r="B38" s="64" t="str">
        <x:v>test_intent_classifier</x:v>
      </x:c>
      <x:c r="C38" s="66" t="str">
        <x:v>test_prompt_contains_only_supported_history_messages</x:v>
      </x:c>
      <x:c r="D38" s="66" t="str">
        <x:v>验证发送给模型的历史只保留受支持角色和字符串内容。</x:v>
      </x:c>
      <x:c r="E38" s="66" t="str">
        <x:v>通过</x:v>
      </x:c>
      <x:c r="F38" s="66" t="str">
        <x:v>实际行为与测试预期一致，该项能力在本次本地运行中有效。</x:v>
      </x:c>
      <x:c r="G38" s="68" t="n">
        <x:v>0.005</x:v>
      </x:c>
      <x:c r="H38" s="66" t="str">
        <x:v>无</x:v>
      </x:c>
      <x:c r="I38" s="66" t="str"/>
      <x:c r="J38" s="66" t="str">
        <x:v>agent/tests/unit/test_intent_classifier.py</x:v>
      </x:c>
    </x:row>
    <x:row r="39" ht="46" customHeight="1">
      <x:c r="A39" s="64" t="n">
        <x:v>38</x:v>
      </x:c>
      <x:c r="B39" s="64" t="str">
        <x:v>test_intent_classifier</x:v>
      </x:c>
      <x:c r="C39" s="66" t="str">
        <x:v>test_markdown_json_response_is_accepted</x:v>
      </x:c>
      <x:c r="D39" s="66" t="str">
        <x:v>验证组件能够解析 Markdown 代码块中的 JSON。</x:v>
      </x:c>
      <x:c r="E39" s="66" t="str">
        <x:v>通过</x:v>
      </x:c>
      <x:c r="F39" s="66" t="str">
        <x:v>实际行为与测试预期一致，该项能力在本次本地运行中有效。</x:v>
      </x:c>
      <x:c r="G39" s="68" t="n">
        <x:v>0.003</x:v>
      </x:c>
      <x:c r="H39" s="66" t="str">
        <x:v>无</x:v>
      </x:c>
      <x:c r="I39" s="66" t="str"/>
      <x:c r="J39" s="66" t="str">
        <x:v>agent/tests/unit/test_intent_classifier.py</x:v>
      </x:c>
    </x:row>
    <x:row r="40" ht="46" customHeight="1">
      <x:c r="A40" s="64" t="n">
        <x:v>39</x:v>
      </x:c>
      <x:c r="B40" s="64" t="str">
        <x:v>test_intent_classifier</x:v>
      </x:c>
      <x:c r="C40" s="66" t="str">
        <x:v>test_invalid_model_response_uses_safe_fallback[response0]</x:v>
      </x:c>
      <x:c r="D40" s="66" t="str">
        <x:v>验证无效意图模型输出会安全降级为低置信度 knowledge_qa。</x:v>
      </x:c>
      <x:c r="E40" s="66" t="str">
        <x:v>通过</x:v>
      </x:c>
      <x:c r="F40" s="66" t="str">
        <x:v>实际行为与测试预期一致，该项能力在本次本地运行中有效。</x:v>
      </x:c>
      <x:c r="G40" s="68" t="n">
        <x:v>0.005</x:v>
      </x:c>
      <x:c r="H40" s="66" t="str">
        <x:v>无</x:v>
      </x:c>
      <x:c r="I40" s="66" t="str"/>
      <x:c r="J40" s="66" t="str">
        <x:v>agent/tests/unit/test_intent_classifier.py</x:v>
      </x:c>
    </x:row>
    <x:row r="41" ht="46" customHeight="1">
      <x:c r="A41" s="64" t="n">
        <x:v>40</x:v>
      </x:c>
      <x:c r="B41" s="64" t="str">
        <x:v>test_intent_classifier</x:v>
      </x:c>
      <x:c r="C41" s="66" t="str">
        <x:v>test_invalid_model_response_uses_safe_fallback[response1]</x:v>
      </x:c>
      <x:c r="D41" s="66" t="str">
        <x:v>验证无效意图模型输出会安全降级为低置信度 knowledge_qa。</x:v>
      </x:c>
      <x:c r="E41" s="66" t="str">
        <x:v>通过</x:v>
      </x:c>
      <x:c r="F41" s="66" t="str">
        <x:v>实际行为与测试预期一致，该项能力在本次本地运行中有效。</x:v>
      </x:c>
      <x:c r="G41" s="68" t="n">
        <x:v>0.003</x:v>
      </x:c>
      <x:c r="H41" s="66" t="str">
        <x:v>无</x:v>
      </x:c>
      <x:c r="I41" s="66" t="str"/>
      <x:c r="J41" s="66" t="str">
        <x:v>agent/tests/unit/test_intent_classifier.py</x:v>
      </x:c>
    </x:row>
    <x:row r="42" ht="46" customHeight="1">
      <x:c r="A42" s="64" t="n">
        <x:v>41</x:v>
      </x:c>
      <x:c r="B42" s="64" t="str">
        <x:v>test_intent_classifier</x:v>
      </x:c>
      <x:c r="C42" s="66" t="str">
        <x:v>test_invalid_model_response_uses_safe_fallback[response2]</x:v>
      </x:c>
      <x:c r="D42" s="66" t="str">
        <x:v>验证无效意图模型输出会安全降级为低置信度 knowledge_qa。</x:v>
      </x:c>
      <x:c r="E42" s="66" t="str">
        <x:v>通过</x:v>
      </x:c>
      <x:c r="F42" s="66" t="str">
        <x:v>实际行为与测试预期一致，该项能力在本次本地运行中有效。</x:v>
      </x:c>
      <x:c r="G42" s="68" t="n">
        <x:v>0.007</x:v>
      </x:c>
      <x:c r="H42" s="66" t="str">
        <x:v>无</x:v>
      </x:c>
      <x:c r="I42" s="66" t="str"/>
      <x:c r="J42" s="66" t="str">
        <x:v>agent/tests/unit/test_intent_classifier.py</x:v>
      </x:c>
    </x:row>
    <x:row r="43" ht="46" customHeight="1">
      <x:c r="A43" s="64" t="n">
        <x:v>42</x:v>
      </x:c>
      <x:c r="B43" s="64" t="str">
        <x:v>test_intent_classifier</x:v>
      </x:c>
      <x:c r="C43" s="66" t="str">
        <x:v>test_invalid_model_response_uses_safe_fallback[response3]</x:v>
      </x:c>
      <x:c r="D43" s="66" t="str">
        <x:v>验证无效意图模型输出会安全降级为低置信度 knowledge_qa。</x:v>
      </x:c>
      <x:c r="E43" s="66" t="str">
        <x:v>通过</x:v>
      </x:c>
      <x:c r="F43" s="66" t="str">
        <x:v>实际行为与测试预期一致，该项能力在本次本地运行中有效。</x:v>
      </x:c>
      <x:c r="G43" s="68" t="n">
        <x:v>0.005</x:v>
      </x:c>
      <x:c r="H43" s="66" t="str">
        <x:v>无</x:v>
      </x:c>
      <x:c r="I43" s="66" t="str"/>
      <x:c r="J43" s="66" t="str">
        <x:v>agent/tests/unit/test_intent_classifier.py</x:v>
      </x:c>
    </x:row>
    <x:row r="44" ht="46" customHeight="1">
      <x:c r="A44" s="64" t="n">
        <x:v>43</x:v>
      </x:c>
      <x:c r="B44" s="64" t="str">
        <x:v>test_intent_classifier</x:v>
      </x:c>
      <x:c r="C44" s="66" t="str">
        <x:v>test_invalid_model_response_uses_safe_fallback[response4]</x:v>
      </x:c>
      <x:c r="D44" s="66" t="str">
        <x:v>验证无效意图模型输出会安全降级为低置信度 knowledge_qa。</x:v>
      </x:c>
      <x:c r="E44" s="66" t="str">
        <x:v>通过</x:v>
      </x:c>
      <x:c r="F44" s="66" t="str">
        <x:v>实际行为与测试预期一致，该项能力在本次本地运行中有效。</x:v>
      </x:c>
      <x:c r="G44" s="68" t="n">
        <x:v>0.006</x:v>
      </x:c>
      <x:c r="H44" s="66" t="str">
        <x:v>无</x:v>
      </x:c>
      <x:c r="I44" s="66" t="str"/>
      <x:c r="J44" s="66" t="str">
        <x:v>agent/tests/unit/test_intent_classifier.py</x:v>
      </x:c>
    </x:row>
    <x:row r="45" ht="46" customHeight="1">
      <x:c r="A45" s="64" t="n">
        <x:v>44</x:v>
      </x:c>
      <x:c r="B45" s="64" t="str">
        <x:v>test_intent_classifier</x:v>
      </x:c>
      <x:c r="C45" s="66" t="str">
        <x:v>test_invalid_model_response_uses_safe_fallback[response5]</x:v>
      </x:c>
      <x:c r="D45" s="66" t="str">
        <x:v>验证无效意图模型输出会安全降级为低置信度 knowledge_qa。</x:v>
      </x:c>
      <x:c r="E45" s="66" t="str">
        <x:v>通过</x:v>
      </x:c>
      <x:c r="F45" s="66" t="str">
        <x:v>实际行为与测试预期一致，该项能力在本次本地运行中有效。</x:v>
      </x:c>
      <x:c r="G45" s="68" t="n">
        <x:v>0.005</x:v>
      </x:c>
      <x:c r="H45" s="66" t="str">
        <x:v>无</x:v>
      </x:c>
      <x:c r="I45" s="66" t="str"/>
      <x:c r="J45" s="66" t="str">
        <x:v>agent/tests/unit/test_intent_classifier.py</x:v>
      </x:c>
    </x:row>
    <x:row r="46" ht="46" customHeight="1">
      <x:c r="A46" s="64" t="n">
        <x:v>45</x:v>
      </x:c>
      <x:c r="B46" s="64" t="str">
        <x:v>test_intent_classifier</x:v>
      </x:c>
      <x:c r="C46" s="66" t="str">
        <x:v>test_invalid_model_response_uses_safe_fallback[response6]</x:v>
      </x:c>
      <x:c r="D46" s="66" t="str">
        <x:v>验证无效意图模型输出会安全降级为低置信度 knowledge_qa。</x:v>
      </x:c>
      <x:c r="E46" s="66" t="str">
        <x:v>通过</x:v>
      </x:c>
      <x:c r="F46" s="66" t="str">
        <x:v>实际行为与测试预期一致，该项能力在本次本地运行中有效。</x:v>
      </x:c>
      <x:c r="G46" s="68" t="n">
        <x:v>0.003</x:v>
      </x:c>
      <x:c r="H46" s="66" t="str">
        <x:v>无</x:v>
      </x:c>
      <x:c r="I46" s="66" t="str"/>
      <x:c r="J46" s="66" t="str">
        <x:v>agent/tests/unit/test_intent_classifier.py</x:v>
      </x:c>
    </x:row>
    <x:row r="47" ht="46" customHeight="1">
      <x:c r="A47" s="64" t="n">
        <x:v>46</x:v>
      </x:c>
      <x:c r="B47" s="64" t="str">
        <x:v>test_intent_classifier</x:v>
      </x:c>
      <x:c r="C47" s="66" t="str">
        <x:v>test_invalid_model_response_uses_safe_fallback[response7]</x:v>
      </x:c>
      <x:c r="D47" s="66" t="str">
        <x:v>验证无效意图模型输出会安全降级为低置信度 knowledge_qa。</x:v>
      </x:c>
      <x:c r="E47" s="66" t="str">
        <x:v>通过</x:v>
      </x:c>
      <x:c r="F47" s="66" t="str">
        <x:v>实际行为与测试预期一致，该项能力在本次本地运行中有效。</x:v>
      </x:c>
      <x:c r="G47" s="68" t="n">
        <x:v>0.005</x:v>
      </x:c>
      <x:c r="H47" s="66" t="str">
        <x:v>无</x:v>
      </x:c>
      <x:c r="I47" s="66" t="str"/>
      <x:c r="J47" s="66" t="str">
        <x:v>agent/tests/unit/test_intent_classifier.py</x:v>
      </x:c>
    </x:row>
    <x:row r="48" ht="46" customHeight="1">
      <x:c r="A48" s="64" t="n">
        <x:v>47</x:v>
      </x:c>
      <x:c r="B48" s="64" t="str">
        <x:v>test_intent_classifier</x:v>
      </x:c>
      <x:c r="C48" s="66" t="str">
        <x:v>test_invalid_model_response_uses_safe_fallback[response8]</x:v>
      </x:c>
      <x:c r="D48" s="66" t="str">
        <x:v>验证无效意图模型输出会安全降级为低置信度 knowledge_qa。</x:v>
      </x:c>
      <x:c r="E48" s="66" t="str">
        <x:v>通过</x:v>
      </x:c>
      <x:c r="F48" s="66" t="str">
        <x:v>实际行为与测试预期一致，该项能力在本次本地运行中有效。</x:v>
      </x:c>
      <x:c r="G48" s="68" t="n">
        <x:v>0.003</x:v>
      </x:c>
      <x:c r="H48" s="66" t="str">
        <x:v>无</x:v>
      </x:c>
      <x:c r="I48" s="66" t="str"/>
      <x:c r="J48" s="66" t="str">
        <x:v>agent/tests/unit/test_intent_classifier.py</x:v>
      </x:c>
    </x:row>
    <x:row r="49" ht="46" customHeight="1">
      <x:c r="A49" s="64" t="n">
        <x:v>48</x:v>
      </x:c>
      <x:c r="B49" s="64" t="str">
        <x:v>test_intent_classifier</x:v>
      </x:c>
      <x:c r="C49" s="66" t="str">
        <x:v>test_llm_error_uses_safe_fallback</x:v>
      </x:c>
      <x:c r="D49" s="66" t="str">
        <x:v>验证意图识别模型异常时使用安全默认结果。</x:v>
      </x:c>
      <x:c r="E49" s="66" t="str">
        <x:v>通过</x:v>
      </x:c>
      <x:c r="F49" s="66" t="str">
        <x:v>实际行为与测试预期一致，该项能力在本次本地运行中有效。</x:v>
      </x:c>
      <x:c r="G49" s="68" t="n">
        <x:v>0.005</x:v>
      </x:c>
      <x:c r="H49" s="66" t="str">
        <x:v>无</x:v>
      </x:c>
      <x:c r="I49" s="66" t="str"/>
      <x:c r="J49" s="66" t="str">
        <x:v>agent/tests/unit/test_intent_classifier.py</x:v>
      </x:c>
    </x:row>
    <x:row r="50" ht="46" customHeight="1">
      <x:c r="A50" s="64" t="n">
        <x:v>49</x:v>
      </x:c>
      <x:c r="B50" s="64" t="str">
        <x:v>test_intent_classifier</x:v>
      </x:c>
      <x:c r="C50" s="66" t="str">
        <x:v>test_disabled_classifier_does_not_call_llm</x:v>
      </x:c>
      <x:c r="D50" s="66" t="str">
        <x:v>验证关闭意图识别后不会调用 LLM。</x:v>
      </x:c>
      <x:c r="E50" s="66" t="str">
        <x:v>通过</x:v>
      </x:c>
      <x:c r="F50" s="66" t="str">
        <x:v>实际行为与测试预期一致，该项能力在本次本地运行中有效。</x:v>
      </x:c>
      <x:c r="G50" s="68" t="n">
        <x:v>0.01</x:v>
      </x:c>
      <x:c r="H50" s="66" t="str">
        <x:v>无</x:v>
      </x:c>
      <x:c r="I50" s="66" t="str"/>
      <x:c r="J50" s="66" t="str">
        <x:v>agent/tests/unit/test_intent_classifier.py</x:v>
      </x:c>
    </x:row>
    <x:row r="51" ht="46" customHeight="1">
      <x:c r="A51" s="64" t="n">
        <x:v>50</x:v>
      </x:c>
      <x:c r="B51" s="64" t="str">
        <x:v>test_intent_classifier</x:v>
      </x:c>
      <x:c r="C51" s="66" t="str">
        <x:v>test_empty_query_does_not_call_llm</x:v>
      </x:c>
      <x:c r="D51" s="66" t="str">
        <x:v>验证空问题不会触发 LLM 调用。</x:v>
      </x:c>
      <x:c r="E51" s="66" t="str">
        <x:v>通过</x:v>
      </x:c>
      <x:c r="F51" s="66" t="str">
        <x:v>实际行为与测试预期一致，该项能力在本次本地运行中有效。</x:v>
      </x:c>
      <x:c r="G51" s="68" t="n">
        <x:v>0.006</x:v>
      </x:c>
      <x:c r="H51" s="66" t="str">
        <x:v>无</x:v>
      </x:c>
      <x:c r="I51" s="66" t="str"/>
      <x:c r="J51" s="66" t="str">
        <x:v>agent/tests/unit/test_intent_classifier.py</x:v>
      </x:c>
    </x:row>
    <x:row r="52" ht="46" customHeight="1">
      <x:c r="A52" s="64" t="n">
        <x:v>51</x:v>
      </x:c>
      <x:c r="B52" s="64" t="str">
        <x:v>test_intent_policy</x:v>
      </x:c>
      <x:c r="C52" s="66" t="str">
        <x:v>test_router_maps_every_intent_to_a_fixed_policy[knowledge_qa-concise_qa-True]</x:v>
      </x:c>
      <x:c r="D52" s="66" t="str">
        <x:v>验证每种 QueryIntent 都映射到固定、白名单化的执行策略。</x:v>
      </x:c>
      <x:c r="E52" s="66" t="str">
        <x:v>通过</x:v>
      </x:c>
      <x:c r="F52" s="66" t="str">
        <x:v>实际行为与测试预期一致，该项能力在本次本地运行中有效。</x:v>
      </x:c>
      <x:c r="G52" s="68" t="n">
        <x:v>0.005</x:v>
      </x:c>
      <x:c r="H52" s="66" t="str">
        <x:v>无</x:v>
      </x:c>
      <x:c r="I52" s="66" t="str"/>
      <x:c r="J52" s="66" t="str">
        <x:v>agent/tests/unit/test_intent_policy.py</x:v>
      </x:c>
    </x:row>
    <x:row r="53" ht="46" customHeight="1">
      <x:c r="A53" s="64" t="n">
        <x:v>52</x:v>
      </x:c>
      <x:c r="B53" s="64" t="str">
        <x:v>test_intent_policy</x:v>
      </x:c>
      <x:c r="C53" s="66" t="str">
        <x:v>test_router_maps_every_intent_to_a_fixed_policy[document_search-document_list-True]</x:v>
      </x:c>
      <x:c r="D53" s="66" t="str">
        <x:v>验证每种 QueryIntent 都映射到固定、白名单化的执行策略。</x:v>
      </x:c>
      <x:c r="E53" s="66" t="str">
        <x:v>通过</x:v>
      </x:c>
      <x:c r="F53" s="66" t="str">
        <x:v>实际行为与测试预期一致，该项能力在本次本地运行中有效。</x:v>
      </x:c>
      <x:c r="G53" s="68" t="n">
        <x:v>0.003</x:v>
      </x:c>
      <x:c r="H53" s="66" t="str">
        <x:v>无</x:v>
      </x:c>
      <x:c r="I53" s="66" t="str"/>
      <x:c r="J53" s="66" t="str">
        <x:v>agent/tests/unit/test_intent_policy.py</x:v>
      </x:c>
    </x:row>
    <x:row r="54" ht="46" customHeight="1">
      <x:c r="A54" s="64" t="n">
        <x:v>53</x:v>
      </x:c>
      <x:c r="B54" s="64" t="str">
        <x:v>test_intent_policy</x:v>
      </x:c>
      <x:c r="C54" s="66" t="str">
        <x:v>test_router_maps_every_intent_to_a_fixed_policy[summarization-structured_summary-True]</x:v>
      </x:c>
      <x:c r="D54" s="66" t="str">
        <x:v>验证每种 QueryIntent 都映射到固定、白名单化的执行策略。</x:v>
      </x:c>
      <x:c r="E54" s="66" t="str">
        <x:v>通过</x:v>
      </x:c>
      <x:c r="F54" s="66" t="str">
        <x:v>实际行为与测试预期一致，该项能力在本次本地运行中有效。</x:v>
      </x:c>
      <x:c r="G54" s="68" t="n">
        <x:v>0.005</x:v>
      </x:c>
      <x:c r="H54" s="66" t="str">
        <x:v>无</x:v>
      </x:c>
      <x:c r="I54" s="66" t="str"/>
      <x:c r="J54" s="66" t="str">
        <x:v>agent/tests/unit/test_intent_policy.py</x:v>
      </x:c>
    </x:row>
    <x:row r="55" ht="46" customHeight="1">
      <x:c r="A55" s="64" t="n">
        <x:v>54</x:v>
      </x:c>
      <x:c r="B55" s="64" t="str">
        <x:v>test_intent_policy</x:v>
      </x:c>
      <x:c r="C55" s="66" t="str">
        <x:v>test_router_maps_every_intent_to_a_fixed_policy[comparison-comparison_table-True]</x:v>
      </x:c>
      <x:c r="D55" s="66" t="str">
        <x:v>验证每种 QueryIntent 都映射到固定、白名单化的执行策略。</x:v>
      </x:c>
      <x:c r="E55" s="66" t="str">
        <x:v>通过</x:v>
      </x:c>
      <x:c r="F55" s="66" t="str">
        <x:v>实际行为与测试预期一致，该项能力在本次本地运行中有效。</x:v>
      </x:c>
      <x:c r="G55" s="68" t="n">
        <x:v>0.006</x:v>
      </x:c>
      <x:c r="H55" s="66" t="str">
        <x:v>无</x:v>
      </x:c>
      <x:c r="I55" s="66" t="str"/>
      <x:c r="J55" s="66" t="str">
        <x:v>agent/tests/unit/test_intent_policy.py</x:v>
      </x:c>
    </x:row>
    <x:row r="56" ht="46" customHeight="1">
      <x:c r="A56" s="64" t="n">
        <x:v>55</x:v>
      </x:c>
      <x:c r="B56" s="64" t="str">
        <x:v>test_intent_policy</x:v>
      </x:c>
      <x:c r="C56" s="66" t="str">
        <x:v>test_router_maps_every_intent_to_a_fixed_policy[casual_chat-direct_chat-False]</x:v>
      </x:c>
      <x:c r="D56" s="66" t="str">
        <x:v>验证每种 QueryIntent 都映射到固定、白名单化的执行策略。</x:v>
      </x:c>
      <x:c r="E56" s="66" t="str">
        <x:v>通过</x:v>
      </x:c>
      <x:c r="F56" s="66" t="str">
        <x:v>实际行为与测试预期一致，该项能力在本次本地运行中有效。</x:v>
      </x:c>
      <x:c r="G56" s="68" t="n">
        <x:v>0.003</x:v>
      </x:c>
      <x:c r="H56" s="66" t="str">
        <x:v>无</x:v>
      </x:c>
      <x:c r="I56" s="66" t="str"/>
      <x:c r="J56" s="66" t="str">
        <x:v>agent/tests/unit/test_intent_policy.py</x:v>
      </x:c>
    </x:row>
    <x:row r="57" ht="46" customHeight="1">
      <x:c r="A57" s="64" t="n">
        <x:v>56</x:v>
      </x:c>
      <x:c r="B57" s="64" t="str">
        <x:v>test_intent_policy</x:v>
      </x:c>
      <x:c r="C57" s="66" t="str">
        <x:v>test_router_maps_every_intent_to_a_fixed_policy[system_help-capability_help-False]</x:v>
      </x:c>
      <x:c r="D57" s="66" t="str">
        <x:v>验证每种 QueryIntent 都映射到固定、白名单化的执行策略。</x:v>
      </x:c>
      <x:c r="E57" s="66" t="str">
        <x:v>通过</x:v>
      </x:c>
      <x:c r="F57" s="66" t="str">
        <x:v>实际行为与测试预期一致，该项能力在本次本地运行中有效。</x:v>
      </x:c>
      <x:c r="G57" s="68" t="n">
        <x:v>0.005</x:v>
      </x:c>
      <x:c r="H57" s="66" t="str">
        <x:v>无</x:v>
      </x:c>
      <x:c r="I57" s="66" t="str"/>
      <x:c r="J57" s="66" t="str">
        <x:v>agent/tests/unit/test_intent_policy.py</x:v>
      </x:c>
    </x:row>
    <x:row r="58" ht="46" customHeight="1">
      <x:c r="A58" s="64" t="n">
        <x:v>57</x:v>
      </x:c>
      <x:c r="B58" s="64" t="str">
        <x:v>test_intent_policy</x:v>
      </x:c>
      <x:c r="C58" s="66" t="str">
        <x:v>test_router_maps_every_intent_to_a_fixed_policy[unsupported-unsupported-False]</x:v>
      </x:c>
      <x:c r="D58" s="66" t="str">
        <x:v>验证每种 QueryIntent 都映射到固定、白名单化的执行策略。</x:v>
      </x:c>
      <x:c r="E58" s="66" t="str">
        <x:v>通过</x:v>
      </x:c>
      <x:c r="F58" s="66" t="str">
        <x:v>实际行为与测试预期一致，该项能力在本次本地运行中有效。</x:v>
      </x:c>
      <x:c r="G58" s="68" t="n">
        <x:v>0.004</x:v>
      </x:c>
      <x:c r="H58" s="66" t="str">
        <x:v>无</x:v>
      </x:c>
      <x:c r="I58" s="66" t="str"/>
      <x:c r="J58" s="66" t="str">
        <x:v>agent/tests/unit/test_intent_policy.py</x:v>
      </x:c>
    </x:row>
    <x:row r="59" ht="46" customHeight="1">
      <x:c r="A59" s="64" t="n">
        <x:v>58</x:v>
      </x:c>
      <x:c r="B59" s="64" t="str">
        <x:v>test_intent_policy</x:v>
      </x:c>
      <x:c r="C59" s="66" t="str">
        <x:v>test_non_tool_intents_have_zero_tool_and_retrieval_budgets</x:v>
      </x:c>
      <x:c r="D59" s="66" t="str">
        <x:v>验证非工具型意图的工具与检索预算均为零。</x:v>
      </x:c>
      <x:c r="E59" s="66" t="str">
        <x:v>通过</x:v>
      </x:c>
      <x:c r="F59" s="66" t="str">
        <x:v>实际行为与测试预期一致，该项能力在本次本地运行中有效。</x:v>
      </x:c>
      <x:c r="G59" s="68" t="n">
        <x:v>0.005</x:v>
      </x:c>
      <x:c r="H59" s="66" t="str">
        <x:v>无</x:v>
      </x:c>
      <x:c r="I59" s="66" t="str"/>
      <x:c r="J59" s="66" t="str">
        <x:v>agent/tests/unit/test_intent_policy.py</x:v>
      </x:c>
    </x:row>
    <x:row r="60" ht="46" customHeight="1">
      <x:c r="A60" s="64" t="n">
        <x:v>59</x:v>
      </x:c>
      <x:c r="B60" s="64" t="str">
        <x:v>test_intent_policy</x:v>
      </x:c>
      <x:c r="C60" s="66" t="str">
        <x:v>test_policy_is_immutable</x:v>
      </x:c>
      <x:c r="D60" s="66" t="str">
        <x:v>验证 IntentPolicy 创建后不可被运行时修改。</x:v>
      </x:c>
      <x:c r="E60" s="66" t="str">
        <x:v>通过</x:v>
      </x:c>
      <x:c r="F60" s="66" t="str">
        <x:v>实际行为与测试预期一致，该项能力在本次本地运行中有效。</x:v>
      </x:c>
      <x:c r="G60" s="68" t="n">
        <x:v>0.003</x:v>
      </x:c>
      <x:c r="H60" s="66" t="str">
        <x:v>无</x:v>
      </x:c>
      <x:c r="I60" s="66" t="str"/>
      <x:c r="J60" s="66" t="str">
        <x:v>agent/tests/unit/test_intent_policy.py</x:v>
      </x:c>
    </x:row>
    <x:row r="61" ht="46" customHeight="1">
      <x:c r="A61" s="64" t="n">
        <x:v>60</x:v>
      </x:c>
      <x:c r="B61" s="64" t="str">
        <x:v>test_intent_policy</x:v>
      </x:c>
      <x:c r="C61" s="66" t="str">
        <x:v>test_policy_rejects_unknown_fields_and_unsafe_budgets</x:v>
      </x:c>
      <x:c r="D61" s="66" t="str">
        <x:v>验证策略拒绝未知字段和超出安全范围的预算。</x:v>
      </x:c>
      <x:c r="E61" s="66" t="str">
        <x:v>通过</x:v>
      </x:c>
      <x:c r="F61" s="66" t="str">
        <x:v>实际行为与测试预期一致，该项能力在本次本地运行中有效。</x:v>
      </x:c>
      <x:c r="G61" s="68" t="n">
        <x:v>0.007</x:v>
      </x:c>
      <x:c r="H61" s="66" t="str">
        <x:v>无</x:v>
      </x:c>
      <x:c r="I61" s="66" t="str"/>
      <x:c r="J61" s="66" t="str">
        <x:v>agent/tests/unit/test_intent_policy.py</x:v>
      </x:c>
    </x:row>
    <x:row r="62" ht="46" customHeight="1">
      <x:c r="A62" s="64" t="n">
        <x:v>61</x:v>
      </x:c>
      <x:c r="B62" s="64" t="str">
        <x:v>test_logger</x:v>
      </x:c>
      <x:c r="C62" s="66" t="str">
        <x:v>test_get_logger_returns_logger_instance</x:v>
      </x:c>
      <x:c r="D62" s="66" t="str">
        <x:v>验证日志工厂返回可用 Logger 实例。</x:v>
      </x:c>
      <x:c r="E62" s="66" t="str">
        <x:v>通过</x:v>
      </x:c>
      <x:c r="F62" s="66" t="str">
        <x:v>实际行为与测试预期一致，该项能力在本次本地运行中有效。</x:v>
      </x:c>
      <x:c r="G62" s="68" t="n">
        <x:v>0.004</x:v>
      </x:c>
      <x:c r="H62" s="66" t="str">
        <x:v>无</x:v>
      </x:c>
      <x:c r="I62" s="66" t="str"/>
      <x:c r="J62" s="66" t="str">
        <x:v>agent/tests/unit/test_logger.py</x:v>
      </x:c>
    </x:row>
    <x:row r="63" ht="46" customHeight="1">
      <x:c r="A63" s="64" t="n">
        <x:v>62</x:v>
      </x:c>
      <x:c r="B63" s="64" t="str">
        <x:v>test_logger</x:v>
      </x:c>
      <x:c r="C63" s="66" t="str">
        <x:v>test_logger_basic_logging</x:v>
      </x:c>
      <x:c r="D63" s="66" t="str">
        <x:v>验证基础日志写入不报错。</x:v>
      </x:c>
      <x:c r="E63" s="66" t="str">
        <x:v>通过</x:v>
      </x:c>
      <x:c r="F63" s="66" t="str">
        <x:v>实际行为与测试预期一致，该项能力在本次本地运行中有效。</x:v>
      </x:c>
      <x:c r="G63" s="68" t="n">
        <x:v>0.003</x:v>
      </x:c>
      <x:c r="H63" s="66" t="str">
        <x:v>无</x:v>
      </x:c>
      <x:c r="I63" s="66" t="str"/>
      <x:c r="J63" s="66" t="str">
        <x:v>agent/tests/unit/test_logger.py</x:v>
      </x:c>
    </x:row>
    <x:row r="64" ht="46" customHeight="1">
      <x:c r="A64" s="64" t="n">
        <x:v>63</x:v>
      </x:c>
      <x:c r="B64" s="64" t="str">
        <x:v>test_logger</x:v>
      </x:c>
      <x:c r="C64" s="66" t="str">
        <x:v>test_logger_with_trace_id_in_context</x:v>
      </x:c>
      <x:c r="D64" s="66" t="str">
        <x:v>验证日志上下文能够携带 trace_id。</x:v>
      </x:c>
      <x:c r="E64" s="66" t="str">
        <x:v>通过</x:v>
      </x:c>
      <x:c r="F64" s="66" t="str">
        <x:v>实际行为与测试预期一致，该项能力在本次本地运行中有效。</x:v>
      </x:c>
      <x:c r="G64" s="68" t="n">
        <x:v>0.006</x:v>
      </x:c>
      <x:c r="H64" s="66" t="str">
        <x:v>无</x:v>
      </x:c>
      <x:c r="I64" s="66" t="str"/>
      <x:c r="J64" s="66" t="str">
        <x:v>agent/tests/unit/test_logger.py</x:v>
      </x:c>
    </x:row>
    <x:row r="65" ht="46" customHeight="1">
      <x:c r="A65" s="64" t="n">
        <x:v>64</x:v>
      </x:c>
      <x:c r="B65" s="64" t="str">
        <x:v>test_logger</x:v>
      </x:c>
      <x:c r="C65" s="66" t="str">
        <x:v>test_setup_logger_does_not_error</x:v>
      </x:c>
      <x:c r="D65" s="66" t="str">
        <x:v>验证日志初始化流程能够正常执行。</x:v>
      </x:c>
      <x:c r="E65" s="66" t="str">
        <x:v>通过</x:v>
      </x:c>
      <x:c r="F65" s="66" t="str">
        <x:v>实际行为与测试预期一致，该项能力在本次本地运行中有效。</x:v>
      </x:c>
      <x:c r="G65" s="68" t="n">
        <x:v>0.005</x:v>
      </x:c>
      <x:c r="H65" s="66" t="str">
        <x:v>无</x:v>
      </x:c>
      <x:c r="I65" s="66" t="str"/>
      <x:c r="J65" s="66" t="str">
        <x:v>agent/tests/unit/test_logger.py</x:v>
      </x:c>
    </x:row>
    <x:row r="66" ht="46" customHeight="1">
      <x:c r="A66" s="64" t="n">
        <x:v>65</x:v>
      </x:c>
      <x:c r="B66" s="64" t="str">
        <x:v>test_logger</x:v>
      </x:c>
      <x:c r="C66" s="66" t="str">
        <x:v>test_logger_multiple_messages</x:v>
      </x:c>
      <x:c r="D66" s="66" t="str">
        <x:v>验证 Logger 能连续处理多条消息。</x:v>
      </x:c>
      <x:c r="E66" s="66" t="str">
        <x:v>通过</x:v>
      </x:c>
      <x:c r="F66" s="66" t="str">
        <x:v>实际行为与测试预期一致，该项能力在本次本地运行中有效。</x:v>
      </x:c>
      <x:c r="G66" s="68" t="n">
        <x:v>0.003</x:v>
      </x:c>
      <x:c r="H66" s="66" t="str">
        <x:v>无</x:v>
      </x:c>
      <x:c r="I66" s="66" t="str"/>
      <x:c r="J66" s="66" t="str">
        <x:v>agent/tests/unit/test_logger.py</x:v>
      </x:c>
    </x:row>
    <x:row r="67" ht="46" customHeight="1">
      <x:c r="A67" s="64" t="n">
        <x:v>66</x:v>
      </x:c>
      <x:c r="B67" s="64" t="str">
        <x:v>test_prompt_builder</x:v>
      </x:c>
      <x:c r="C67" s="66" t="str">
        <x:v>test_prompt_contains_query_context_and_constraints</x:v>
      </x:c>
      <x:c r="D67" s="66" t="str">
        <x:v>验证最终 Prompt 包含问题、证据上下文和回答约束。</x:v>
      </x:c>
      <x:c r="E67" s="66" t="str">
        <x:v>通过</x:v>
      </x:c>
      <x:c r="F67" s="66" t="str">
        <x:v>实际行为与测试预期一致，该项能力在本次本地运行中有效。</x:v>
      </x:c>
      <x:c r="G67" s="68" t="n">
        <x:v>0.005</x:v>
      </x:c>
      <x:c r="H67" s="66" t="str">
        <x:v>无</x:v>
      </x:c>
      <x:c r="I67" s="66" t="str"/>
      <x:c r="J67" s="66" t="str">
        <x:v>agent/tests/unit/test_prompt_builder.py</x:v>
      </x:c>
    </x:row>
    <x:row r="68" ht="46" customHeight="1">
      <x:c r="A68" s="64" t="n">
        <x:v>67</x:v>
      </x:c>
      <x:c r="B68" s="64" t="str">
        <x:v>test_query_plan</x:v>
      </x:c>
      <x:c r="C68" s="66" t="str">
        <x:v>test_query_package_reexports_the_canonical_contract</x:v>
      </x:c>
      <x:c r="D68" s="66" t="str">
        <x:v>验证 agent.query 重导出的是唯一 QueryPlan 公共模型。</x:v>
      </x:c>
      <x:c r="E68" s="66" t="str">
        <x:v>通过</x:v>
      </x:c>
      <x:c r="F68" s="66" t="str">
        <x:v>实际行为与测试预期一致，该项能力在本次本地运行中有效。</x:v>
      </x:c>
      <x:c r="G68" s="68" t="n">
        <x:v>0.005</x:v>
      </x:c>
      <x:c r="H68" s="66" t="str">
        <x:v>无</x:v>
      </x:c>
      <x:c r="I68" s="66" t="str"/>
      <x:c r="J68" s="66" t="str">
        <x:v>agent/tests/unit/test_query_plan.py</x:v>
      </x:c>
    </x:row>
    <x:row r="69" ht="46" customHeight="1">
      <x:c r="A69" s="64" t="n">
        <x:v>68</x:v>
      </x:c>
      <x:c r="B69" s="64" t="str">
        <x:v>test_query_plan</x:v>
      </x:c>
      <x:c r="C69" s="66" t="str">
        <x:v>test_query_intent_contains_cp2_supported_values</x:v>
      </x:c>
      <x:c r="D69" s="66" t="str">
        <x:v>验证 QueryIntent 枚举与 CP2 冻结契约一致。</x:v>
      </x:c>
      <x:c r="E69" s="66" t="str">
        <x:v>通过</x:v>
      </x:c>
      <x:c r="F69" s="66" t="str">
        <x:v>实际行为与测试预期一致，该项能力在本次本地运行中有效。</x:v>
      </x:c>
      <x:c r="G69" s="68" t="n">
        <x:v>0.003</x:v>
      </x:c>
      <x:c r="H69" s="66" t="str">
        <x:v>无</x:v>
      </x:c>
      <x:c r="I69" s="66" t="str"/>
      <x:c r="J69" s="66" t="str">
        <x:v>agent/tests/unit/test_query_plan.py</x:v>
      </x:c>
    </x:row>
    <x:row r="70" ht="46" customHeight="1">
      <x:c r="A70" s="64" t="n">
        <x:v>69</x:v>
      </x:c>
      <x:c r="B70" s="64" t="str">
        <x:v>test_query_plan</x:v>
      </x:c>
      <x:c r="C70" s="66" t="str">
        <x:v>test_query_plan_uses_safe_cp2_defaults</x:v>
      </x:c>
      <x:c r="D70" s="66" t="str">
        <x:v>验证 QueryPlan 的默认意图、标记、列表和过滤条件安全。</x:v>
      </x:c>
      <x:c r="E70" s="66" t="str">
        <x:v>通过</x:v>
      </x:c>
      <x:c r="F70" s="66" t="str">
        <x:v>实际行为与测试预期一致，该项能力在本次本地运行中有效。</x:v>
      </x:c>
      <x:c r="G70" s="68" t="n">
        <x:v>0.004</x:v>
      </x:c>
      <x:c r="H70" s="66" t="str">
        <x:v>无</x:v>
      </x:c>
      <x:c r="I70" s="66" t="str"/>
      <x:c r="J70" s="66" t="str">
        <x:v>agent/tests/unit/test_query_plan.py</x:v>
      </x:c>
    </x:row>
    <x:row r="71" ht="46" customHeight="1">
      <x:c r="A71" s="64" t="n">
        <x:v>70</x:v>
      </x:c>
      <x:c r="B71" s="64" t="str">
        <x:v>test_query_plan</x:v>
      </x:c>
      <x:c r="C71" s="66" t="str">
        <x:v>test_query_plan_preserves_original_and_normalizes_standalone_query</x:v>
      </x:c>
      <x:c r="D71" s="66" t="str">
        <x:v>验证保留原始问题并规范化独立检索问题。</x:v>
      </x:c>
      <x:c r="E71" s="66" t="str">
        <x:v>通过</x:v>
      </x:c>
      <x:c r="F71" s="66" t="str">
        <x:v>实际行为与测试预期一致，该项能力在本次本地运行中有效。</x:v>
      </x:c>
      <x:c r="G71" s="68" t="n">
        <x:v>0.003</x:v>
      </x:c>
      <x:c r="H71" s="66" t="str">
        <x:v>无</x:v>
      </x:c>
      <x:c r="I71" s="66" t="str"/>
      <x:c r="J71" s="66" t="str">
        <x:v>agent/tests/unit/test_query_plan.py</x:v>
      </x:c>
    </x:row>
    <x:row r="72" ht="46" customHeight="1">
      <x:c r="A72" s="64" t="n">
        <x:v>71</x:v>
      </x:c>
      <x:c r="B72" s="64" t="str">
        <x:v>test_query_plan</x:v>
      </x:c>
      <x:c r="C72" s="66" t="str">
        <x:v>test_intent_confidence_must_be_between_zero_and_one[-0.01]</x:v>
      </x:c>
      <x:c r="D72" s="66" t="str">
        <x:v>验证意图置信度必须位于 0 到 1。</x:v>
      </x:c>
      <x:c r="E72" s="66" t="str">
        <x:v>通过</x:v>
      </x:c>
      <x:c r="F72" s="66" t="str">
        <x:v>实际行为与测试预期一致，该项能力在本次本地运行中有效。</x:v>
      </x:c>
      <x:c r="G72" s="68" t="n">
        <x:v>0.005</x:v>
      </x:c>
      <x:c r="H72" s="66" t="str">
        <x:v>无</x:v>
      </x:c>
      <x:c r="I72" s="66" t="str"/>
      <x:c r="J72" s="66" t="str">
        <x:v>agent/tests/unit/test_query_plan.py</x:v>
      </x:c>
    </x:row>
    <x:row r="73" ht="46" customHeight="1">
      <x:c r="A73" s="64" t="n">
        <x:v>72</x:v>
      </x:c>
      <x:c r="B73" s="64" t="str">
        <x:v>test_query_plan</x:v>
      </x:c>
      <x:c r="C73" s="66" t="str">
        <x:v>test_intent_confidence_must_be_between_zero_and_one[1.01]</x:v>
      </x:c>
      <x:c r="D73" s="66" t="str">
        <x:v>验证意图置信度必须位于 0 到 1。</x:v>
      </x:c>
      <x:c r="E73" s="66" t="str">
        <x:v>通过</x:v>
      </x:c>
      <x:c r="F73" s="66" t="str">
        <x:v>实际行为与测试预期一致，该项能力在本次本地运行中有效。</x:v>
      </x:c>
      <x:c r="G73" s="68" t="n">
        <x:v>0.004</x:v>
      </x:c>
      <x:c r="H73" s="66" t="str">
        <x:v>无</x:v>
      </x:c>
      <x:c r="I73" s="66" t="str"/>
      <x:c r="J73" s="66" t="str">
        <x:v>agent/tests/unit/test_query_plan.py</x:v>
      </x:c>
    </x:row>
    <x:row r="74" ht="46" customHeight="1">
      <x:c r="A74" s="64" t="n">
        <x:v>73</x:v>
      </x:c>
      <x:c r="B74" s="64" t="str">
        <x:v>test_query_plan</x:v>
      </x:c>
      <x:c r="C74" s="66" t="str">
        <x:v>test_query_fields_must_not_be_empty[original_query-]</x:v>
      </x:c>
      <x:c r="D74" s="66" t="str">
        <x:v>验证原始问题和独立问题不能为空。</x:v>
      </x:c>
      <x:c r="E74" s="66" t="str">
        <x:v>通过</x:v>
      </x:c>
      <x:c r="F74" s="66" t="str">
        <x:v>实际行为与测试预期一致，该项能力在本次本地运行中有效。</x:v>
      </x:c>
      <x:c r="G74" s="68" t="n">
        <x:v>0.003</x:v>
      </x:c>
      <x:c r="H74" s="66" t="str">
        <x:v>无</x:v>
      </x:c>
      <x:c r="I74" s="66" t="str"/>
      <x:c r="J74" s="66" t="str">
        <x:v>agent/tests/unit/test_query_plan.py</x:v>
      </x:c>
    </x:row>
    <x:row r="75" ht="46" customHeight="1">
      <x:c r="A75" s="64" t="n">
        <x:v>74</x:v>
      </x:c>
      <x:c r="B75" s="64" t="str">
        <x:v>test_query_plan</x:v>
      </x:c>
      <x:c r="C75" s="66" t="str">
        <x:v>test_query_fields_must_not_be_empty[original_query-   ]</x:v>
      </x:c>
      <x:c r="D75" s="66" t="str">
        <x:v>验证原始问题和独立问题不能为空。</x:v>
      </x:c>
      <x:c r="E75" s="66" t="str">
        <x:v>通过</x:v>
      </x:c>
      <x:c r="F75" s="66" t="str">
        <x:v>实际行为与测试预期一致，该项能力在本次本地运行中有效。</x:v>
      </x:c>
      <x:c r="G75" s="68" t="n">
        <x:v>0.005</x:v>
      </x:c>
      <x:c r="H75" s="66" t="str">
        <x:v>无</x:v>
      </x:c>
      <x:c r="I75" s="66" t="str"/>
      <x:c r="J75" s="66" t="str">
        <x:v>agent/tests/unit/test_query_plan.py</x:v>
      </x:c>
    </x:row>
    <x:row r="76" ht="46" customHeight="1">
      <x:c r="A76" s="64" t="n">
        <x:v>75</x:v>
      </x:c>
      <x:c r="B76" s="64" t="str">
        <x:v>test_query_plan</x:v>
      </x:c>
      <x:c r="C76" s="66" t="str">
        <x:v>test_query_fields_must_not_be_empty[standalone_query-]</x:v>
      </x:c>
      <x:c r="D76" s="66" t="str">
        <x:v>验证原始问题和独立问题不能为空。</x:v>
      </x:c>
      <x:c r="E76" s="66" t="str">
        <x:v>通过</x:v>
      </x:c>
      <x:c r="F76" s="66" t="str">
        <x:v>实际行为与测试预期一致，该项能力在本次本地运行中有效。</x:v>
      </x:c>
      <x:c r="G76" s="68" t="n">
        <x:v>0.005</x:v>
      </x:c>
      <x:c r="H76" s="66" t="str">
        <x:v>无</x:v>
      </x:c>
      <x:c r="I76" s="66" t="str"/>
      <x:c r="J76" s="66" t="str">
        <x:v>agent/tests/unit/test_query_plan.py</x:v>
      </x:c>
    </x:row>
    <x:row r="77" ht="46" customHeight="1">
      <x:c r="A77" s="64" t="n">
        <x:v>76</x:v>
      </x:c>
      <x:c r="B77" s="64" t="str">
        <x:v>test_query_plan</x:v>
      </x:c>
      <x:c r="C77" s="66" t="str">
        <x:v>test_query_fields_must_not_be_empty[standalone_query-   ]</x:v>
      </x:c>
      <x:c r="D77" s="66" t="str">
        <x:v>验证原始问题和独立问题不能为空。</x:v>
      </x:c>
      <x:c r="E77" s="66" t="str">
        <x:v>通过</x:v>
      </x:c>
      <x:c r="F77" s="66" t="str">
        <x:v>实际行为与测试预期一致，该项能力在本次本地运行中有效。</x:v>
      </x:c>
      <x:c r="G77" s="68" t="n">
        <x:v>0.005</x:v>
      </x:c>
      <x:c r="H77" s="66" t="str">
        <x:v>无</x:v>
      </x:c>
      <x:c r="I77" s="66" t="str"/>
      <x:c r="J77" s="66" t="str">
        <x:v>agent/tests/unit/test_query_plan.py</x:v>
      </x:c>
    </x:row>
    <x:row r="78" ht="46" customHeight="1">
      <x:c r="A78" s="64" t="n">
        <x:v>77</x:v>
      </x:c>
      <x:c r="B78" s="64" t="str">
        <x:v>test_query_plan</x:v>
      </x:c>
      <x:c r="C78" s="66" t="str">
        <x:v>test_clarification_requires_a_specific_question</x:v>
      </x:c>
      <x:c r="D78" s="66" t="str">
        <x:v>验证需要澄清时必须提供具体问题。</x:v>
      </x:c>
      <x:c r="E78" s="66" t="str">
        <x:v>通过</x:v>
      </x:c>
      <x:c r="F78" s="66" t="str">
        <x:v>实际行为与测试预期一致，该项能力在本次本地运行中有效。</x:v>
      </x:c>
      <x:c r="G78" s="68" t="n">
        <x:v>0.006</x:v>
      </x:c>
      <x:c r="H78" s="66" t="str">
        <x:v>无</x:v>
      </x:c>
      <x:c r="I78" s="66" t="str"/>
      <x:c r="J78" s="66" t="str">
        <x:v>agent/tests/unit/test_query_plan.py</x:v>
      </x:c>
    </x:row>
    <x:row r="79" ht="46" customHeight="1">
      <x:c r="A79" s="64" t="n">
        <x:v>78</x:v>
      </x:c>
      <x:c r="B79" s="64" t="str">
        <x:v>test_query_plan</x:v>
      </x:c>
      <x:c r="C79" s="66" t="str">
        <x:v>test_clarification_plan_keeps_question_and_reason</x:v>
      </x:c>
      <x:c r="D79" s="66" t="str">
        <x:v>验证澄清计划保留问题和歧义原因。</x:v>
      </x:c>
      <x:c r="E79" s="66" t="str">
        <x:v>通过</x:v>
      </x:c>
      <x:c r="F79" s="66" t="str">
        <x:v>实际行为与测试预期一致，该项能力在本次本地运行中有效。</x:v>
      </x:c>
      <x:c r="G79" s="68" t="n">
        <x:v>0.006</x:v>
      </x:c>
      <x:c r="H79" s="66" t="str">
        <x:v>无</x:v>
      </x:c>
      <x:c r="I79" s="66" t="str"/>
      <x:c r="J79" s="66" t="str">
        <x:v>agent/tests/unit/test_query_plan.py</x:v>
      </x:c>
    </x:row>
    <x:row r="80" ht="46" customHeight="1">
      <x:c r="A80" s="64" t="n">
        <x:v>79</x:v>
      </x:c>
      <x:c r="B80" s="64" t="str">
        <x:v>test_query_plan</x:v>
      </x:c>
      <x:c r="C80" s="66" t="str">
        <x:v>test_non_clarification_plan_discards_unused_question</x:v>
      </x:c>
      <x:c r="D80" s="66" t="str">
        <x:v>验证无需澄清时清除未使用问题。</x:v>
      </x:c>
      <x:c r="E80" s="66" t="str">
        <x:v>通过</x:v>
      </x:c>
      <x:c r="F80" s="66" t="str">
        <x:v>实际行为与测试预期一致，该项能力在本次本地运行中有效。</x:v>
      </x:c>
      <x:c r="G80" s="68" t="n">
        <x:v>0.003</x:v>
      </x:c>
      <x:c r="H80" s="66" t="str">
        <x:v>无</x:v>
      </x:c>
      <x:c r="I80" s="66" t="str"/>
      <x:c r="J80" s="66" t="str">
        <x:v>agent/tests/unit/test_query_plan.py</x:v>
      </x:c>
    </x:row>
    <x:row r="81" ht="46" customHeight="1">
      <x:c r="A81" s="64" t="n">
        <x:v>80</x:v>
      </x:c>
      <x:c r="B81" s="64" t="str">
        <x:v>test_query_plan</x:v>
      </x:c>
      <x:c r="C81" s="66" t="str">
        <x:v>test_sub_queries_are_normalized</x:v>
      </x:c>
      <x:c r="D81" s="66" t="str">
        <x:v>验证子查询会去除空项和首尾空白。</x:v>
      </x:c>
      <x:c r="E81" s="66" t="str">
        <x:v>通过</x:v>
      </x:c>
      <x:c r="F81" s="66" t="str">
        <x:v>实际行为与测试预期一致，该项能力在本次本地运行中有效。</x:v>
      </x:c>
      <x:c r="G81" s="68" t="n">
        <x:v>0.005</x:v>
      </x:c>
      <x:c r="H81" s="66" t="str">
        <x:v>无</x:v>
      </x:c>
      <x:c r="I81" s="66" t="str"/>
      <x:c r="J81" s="66" t="str">
        <x:v>agent/tests/unit/test_query_plan.py</x:v>
      </x:c>
    </x:row>
    <x:row r="82" ht="46" customHeight="1">
      <x:c r="A82" s="64" t="n">
        <x:v>81</x:v>
      </x:c>
      <x:c r="B82" s="64" t="str">
        <x:v>test_query_plan</x:v>
      </x:c>
      <x:c r="C82" s="66" t="str">
        <x:v>test_mutable_defaults_are_isolated_between_plans</x:v>
      </x:c>
      <x:c r="D82" s="66" t="str">
        <x:v>验证不同 QueryPlan 不共享可变默认值。</x:v>
      </x:c>
      <x:c r="E82" s="66" t="str">
        <x:v>通过</x:v>
      </x:c>
      <x:c r="F82" s="66" t="str">
        <x:v>实际行为与测试预期一致，该项能力在本次本地运行中有效。</x:v>
      </x:c>
      <x:c r="G82" s="68" t="n">
        <x:v>0.003</x:v>
      </x:c>
      <x:c r="H82" s="66" t="str">
        <x:v>无</x:v>
      </x:c>
      <x:c r="I82" s="66" t="str"/>
      <x:c r="J82" s="66" t="str">
        <x:v>agent/tests/unit/test_query_plan.py</x:v>
      </x:c>
    </x:row>
    <x:row r="83" ht="46" customHeight="1">
      <x:c r="A83" s="64" t="n">
        <x:v>82</x:v>
      </x:c>
      <x:c r="B83" s="64" t="str">
        <x:v>test_query_plan</x:v>
      </x:c>
      <x:c r="C83" s="66" t="str">
        <x:v>test_unknown_fields_are_rejected</x:v>
      </x:c>
      <x:c r="D83" s="66" t="str">
        <x:v>验证 QueryPlan 拒绝未声明字段。</x:v>
      </x:c>
      <x:c r="E83" s="66" t="str">
        <x:v>通过</x:v>
      </x:c>
      <x:c r="F83" s="66" t="str">
        <x:v>实际行为与测试预期一致，该项能力在本次本地运行中有效。</x:v>
      </x:c>
      <x:c r="G83" s="68" t="n">
        <x:v>0.007</x:v>
      </x:c>
      <x:c r="H83" s="66" t="str">
        <x:v>无</x:v>
      </x:c>
      <x:c r="I83" s="66" t="str"/>
      <x:c r="J83" s="66" t="str">
        <x:v>agent/tests/unit/test_query_plan.py</x:v>
      </x:c>
    </x:row>
    <x:row r="84" ht="46" customHeight="1">
      <x:c r="A84" s="64" t="n">
        <x:v>83</x:v>
      </x:c>
      <x:c r="B84" s="64" t="str">
        <x:v>test_query_plan</x:v>
      </x:c>
      <x:c r="C84" s="66" t="str">
        <x:v>test_query_plan_serializes_intent_as_string</x:v>
      </x:c>
      <x:c r="D84" s="66" t="str">
        <x:v>验证 QueryIntent 序列化为稳定字符串。</x:v>
      </x:c>
      <x:c r="E84" s="66" t="str">
        <x:v>通过</x:v>
      </x:c>
      <x:c r="F84" s="66" t="str">
        <x:v>实际行为与测试预期一致，该项能力在本次本地运行中有效。</x:v>
      </x:c>
      <x:c r="G84" s="68" t="n">
        <x:v>0.006</x:v>
      </x:c>
      <x:c r="H84" s="66" t="str">
        <x:v>无</x:v>
      </x:c>
      <x:c r="I84" s="66" t="str"/>
      <x:c r="J84" s="66" t="str">
        <x:v>agent/tests/unit/test_query_plan.py</x:v>
      </x:c>
    </x:row>
    <x:row r="85" ht="46" customHeight="1">
      <x:c r="A85" s="64" t="n">
        <x:v>84</x:v>
      </x:c>
      <x:c r="B85" s="64" t="str">
        <x:v>test_query_rewriter</x:v>
      </x:c>
      <x:c r="C85" s="66" t="str">
        <x:v>test_rewrite_resolves_reference_from_history</x:v>
      </x:c>
      <x:c r="D85" s="66" t="str">
        <x:v>验证查询改写能利用历史解析指代。</x:v>
      </x:c>
      <x:c r="E85" s="66" t="str">
        <x:v>通过</x:v>
      </x:c>
      <x:c r="F85" s="66" t="str">
        <x:v>实际行为与测试预期一致，该项能力在本次本地运行中有效。</x:v>
      </x:c>
      <x:c r="G85" s="68" t="n">
        <x:v>0.005</x:v>
      </x:c>
      <x:c r="H85" s="66" t="str">
        <x:v>无</x:v>
      </x:c>
      <x:c r="I85" s="66" t="str"/>
      <x:c r="J85" s="66" t="str">
        <x:v>agent/tests/unit/test_query_rewriter.py</x:v>
      </x:c>
    </x:row>
    <x:row r="86" ht="46" customHeight="1">
      <x:c r="A86" s="64" t="n">
        <x:v>85</x:v>
      </x:c>
      <x:c r="B86" s="64" t="str">
        <x:v>test_query_rewriter</x:v>
      </x:c>
      <x:c r="C86" s="66" t="str">
        <x:v>test_clear_query_can_remain_unchanged</x:v>
      </x:c>
      <x:c r="D86" s="66" t="str">
        <x:v>验证已经独立的问题可以保持不变。</x:v>
      </x:c>
      <x:c r="E86" s="66" t="str">
        <x:v>通过</x:v>
      </x:c>
      <x:c r="F86" s="66" t="str">
        <x:v>实际行为与测试预期一致，该项能力在本次本地运行中有效。</x:v>
      </x:c>
      <x:c r="G86" s="68" t="n">
        <x:v>0.003</x:v>
      </x:c>
      <x:c r="H86" s="66" t="str">
        <x:v>无</x:v>
      </x:c>
      <x:c r="I86" s="66" t="str"/>
      <x:c r="J86" s="66" t="str">
        <x:v>agent/tests/unit/test_query_rewriter.py</x:v>
      </x:c>
    </x:row>
    <x:row r="87" ht="46" customHeight="1">
      <x:c r="A87" s="64" t="n">
        <x:v>86</x:v>
      </x:c>
      <x:c r="B87" s="64" t="str">
        <x:v>test_query_rewriter</x:v>
      </x:c>
      <x:c r="C87" s="66" t="str">
        <x:v>test_rewrite_preserves_technical_terms</x:v>
      </x:c>
      <x:c r="D87" s="66" t="str">
        <x:v>验证改写不会破坏模块名、接口名和技术术语。</x:v>
      </x:c>
      <x:c r="E87" s="66" t="str">
        <x:v>通过</x:v>
      </x:c>
      <x:c r="F87" s="66" t="str">
        <x:v>实际行为与测试预期一致，该项能力在本次本地运行中有效。</x:v>
      </x:c>
      <x:c r="G87" s="68" t="n">
        <x:v>0.005</x:v>
      </x:c>
      <x:c r="H87" s="66" t="str">
        <x:v>无</x:v>
      </x:c>
      <x:c r="I87" s="66" t="str"/>
      <x:c r="J87" s="66" t="str">
        <x:v>agent/tests/unit/test_query_rewriter.py</x:v>
      </x:c>
    </x:row>
    <x:row r="88" ht="46" customHeight="1">
      <x:c r="A88" s="64" t="n">
        <x:v>87</x:v>
      </x:c>
      <x:c r="B88" s="64" t="str">
        <x:v>test_query_rewriter</x:v>
      </x:c>
      <x:c r="C88" s="66" t="str">
        <x:v>test_prompt_contains_only_supported_history_messages</x:v>
      </x:c>
      <x:c r="D88" s="66" t="str">
        <x:v>验证发送给模型的历史只保留受支持角色和字符串内容。</x:v>
      </x:c>
      <x:c r="E88" s="66" t="str">
        <x:v>通过</x:v>
      </x:c>
      <x:c r="F88" s="66" t="str">
        <x:v>实际行为与测试预期一致，该项能力在本次本地运行中有效。</x:v>
      </x:c>
      <x:c r="G88" s="68" t="n">
        <x:v>0.006</x:v>
      </x:c>
      <x:c r="H88" s="66" t="str">
        <x:v>无</x:v>
      </x:c>
      <x:c r="I88" s="66" t="str"/>
      <x:c r="J88" s="66" t="str">
        <x:v>agent/tests/unit/test_query_rewriter.py</x:v>
      </x:c>
    </x:row>
    <x:row r="89" ht="46" customHeight="1">
      <x:c r="A89" s="64" t="n">
        <x:v>88</x:v>
      </x:c>
      <x:c r="B89" s="64" t="str">
        <x:v>test_query_rewriter</x:v>
      </x:c>
      <x:c r="C89" s="66" t="str">
        <x:v>test_markdown_json_response_is_accepted</x:v>
      </x:c>
      <x:c r="D89" s="66" t="str">
        <x:v>验证组件能够解析 Markdown 代码块中的 JSON。</x:v>
      </x:c>
      <x:c r="E89" s="66" t="str">
        <x:v>通过</x:v>
      </x:c>
      <x:c r="F89" s="66" t="str">
        <x:v>实际行为与测试预期一致，该项能力在本次本地运行中有效。</x:v>
      </x:c>
      <x:c r="G89" s="68" t="n">
        <x:v>0.006</x:v>
      </x:c>
      <x:c r="H89" s="66" t="str">
        <x:v>无</x:v>
      </x:c>
      <x:c r="I89" s="66" t="str"/>
      <x:c r="J89" s="66" t="str">
        <x:v>agent/tests/unit/test_query_rewriter.py</x:v>
      </x:c>
    </x:row>
    <x:row r="90" ht="46" customHeight="1">
      <x:c r="A90" s="64" t="n">
        <x:v>89</x:v>
      </x:c>
      <x:c r="B90" s="64" t="str">
        <x:v>test_query_rewriter</x:v>
      </x:c>
      <x:c r="C90" s="66" t="str">
        <x:v>test_invalid_model_response_falls_back_to_original_query[response0]</x:v>
      </x:c>
      <x:c r="D90" s="66" t="str">
        <x:v>验证无效改写结果会回退到原问题。</x:v>
      </x:c>
      <x:c r="E90" s="66" t="str">
        <x:v>通过</x:v>
      </x:c>
      <x:c r="F90" s="66" t="str">
        <x:v>实际行为与测试预期一致，该项能力在本次本地运行中有效。</x:v>
      </x:c>
      <x:c r="G90" s="68" t="n">
        <x:v>0.004</x:v>
      </x:c>
      <x:c r="H90" s="66" t="str">
        <x:v>无</x:v>
      </x:c>
      <x:c r="I90" s="66" t="str"/>
      <x:c r="J90" s="66" t="str">
        <x:v>agent/tests/unit/test_query_rewriter.py</x:v>
      </x:c>
    </x:row>
    <x:row r="91" ht="46" customHeight="1">
      <x:c r="A91" s="64" t="n">
        <x:v>90</x:v>
      </x:c>
      <x:c r="B91" s="64" t="str">
        <x:v>test_query_rewriter</x:v>
      </x:c>
      <x:c r="C91" s="66" t="str">
        <x:v>test_invalid_model_response_falls_back_to_original_query[response1]</x:v>
      </x:c>
      <x:c r="D91" s="66" t="str">
        <x:v>验证无效改写结果会回退到原问题。</x:v>
      </x:c>
      <x:c r="E91" s="66" t="str">
        <x:v>通过</x:v>
      </x:c>
      <x:c r="F91" s="66" t="str">
        <x:v>实际行为与测试预期一致，该项能力在本次本地运行中有效。</x:v>
      </x:c>
      <x:c r="G91" s="68" t="n">
        <x:v>0.005</x:v>
      </x:c>
      <x:c r="H91" s="66" t="str">
        <x:v>无</x:v>
      </x:c>
      <x:c r="I91" s="66" t="str"/>
      <x:c r="J91" s="66" t="str">
        <x:v>agent/tests/unit/test_query_rewriter.py</x:v>
      </x:c>
    </x:row>
    <x:row r="92" ht="46" customHeight="1">
      <x:c r="A92" s="64" t="n">
        <x:v>91</x:v>
      </x:c>
      <x:c r="B92" s="64" t="str">
        <x:v>test_query_rewriter</x:v>
      </x:c>
      <x:c r="C92" s="66" t="str">
        <x:v>test_invalid_model_response_falls_back_to_original_query[response2]</x:v>
      </x:c>
      <x:c r="D92" s="66" t="str">
        <x:v>验证无效改写结果会回退到原问题。</x:v>
      </x:c>
      <x:c r="E92" s="66" t="str">
        <x:v>通过</x:v>
      </x:c>
      <x:c r="F92" s="66" t="str">
        <x:v>实际行为与测试预期一致，该项能力在本次本地运行中有效。</x:v>
      </x:c>
      <x:c r="G92" s="68" t="n">
        <x:v>0.003</x:v>
      </x:c>
      <x:c r="H92" s="66" t="str">
        <x:v>无</x:v>
      </x:c>
      <x:c r="I92" s="66" t="str"/>
      <x:c r="J92" s="66" t="str">
        <x:v>agent/tests/unit/test_query_rewriter.py</x:v>
      </x:c>
    </x:row>
    <x:row r="93" ht="46" customHeight="1">
      <x:c r="A93" s="64" t="n">
        <x:v>92</x:v>
      </x:c>
      <x:c r="B93" s="64" t="str">
        <x:v>test_query_rewriter</x:v>
      </x:c>
      <x:c r="C93" s="66" t="str">
        <x:v>test_invalid_model_response_falls_back_to_original_query[response3]</x:v>
      </x:c>
      <x:c r="D93" s="66" t="str">
        <x:v>验证无效改写结果会回退到原问题。</x:v>
      </x:c>
      <x:c r="E93" s="66" t="str">
        <x:v>通过</x:v>
      </x:c>
      <x:c r="F93" s="66" t="str">
        <x:v>实际行为与测试预期一致，该项能力在本次本地运行中有效。</x:v>
      </x:c>
      <x:c r="G93" s="68" t="n">
        <x:v>0.005</x:v>
      </x:c>
      <x:c r="H93" s="66" t="str">
        <x:v>无</x:v>
      </x:c>
      <x:c r="I93" s="66" t="str"/>
      <x:c r="J93" s="66" t="str">
        <x:v>agent/tests/unit/test_query_rewriter.py</x:v>
      </x:c>
    </x:row>
    <x:row r="94" ht="46" customHeight="1">
      <x:c r="A94" s="64" t="n">
        <x:v>93</x:v>
      </x:c>
      <x:c r="B94" s="64" t="str">
        <x:v>test_query_rewriter</x:v>
      </x:c>
      <x:c r="C94" s="66" t="str">
        <x:v>test_invalid_model_response_falls_back_to_original_query[response4]</x:v>
      </x:c>
      <x:c r="D94" s="66" t="str">
        <x:v>验证无效改写结果会回退到原问题。</x:v>
      </x:c>
      <x:c r="E94" s="66" t="str">
        <x:v>通过</x:v>
      </x:c>
      <x:c r="F94" s="66" t="str">
        <x:v>实际行为与测试预期一致，该项能力在本次本地运行中有效。</x:v>
      </x:c>
      <x:c r="G94" s="68" t="n">
        <x:v>0.006</x:v>
      </x:c>
      <x:c r="H94" s="66" t="str">
        <x:v>无</x:v>
      </x:c>
      <x:c r="I94" s="66" t="str"/>
      <x:c r="J94" s="66" t="str">
        <x:v>agent/tests/unit/test_query_rewriter.py</x:v>
      </x:c>
    </x:row>
    <x:row r="95" ht="46" customHeight="1">
      <x:c r="A95" s="64" t="n">
        <x:v>94</x:v>
      </x:c>
      <x:c r="B95" s="64" t="str">
        <x:v>test_query_rewriter</x:v>
      </x:c>
      <x:c r="C95" s="66" t="str">
        <x:v>test_llm_error_falls_back_to_original_query</x:v>
      </x:c>
      <x:c r="D95" s="66" t="str">
        <x:v>验证改写模型异常时回退原问题。</x:v>
      </x:c>
      <x:c r="E95" s="66" t="str">
        <x:v>通过</x:v>
      </x:c>
      <x:c r="F95" s="66" t="str">
        <x:v>实际行为与测试预期一致，该项能力在本次本地运行中有效。</x:v>
      </x:c>
      <x:c r="G95" s="68" t="n">
        <x:v>0.004</x:v>
      </x:c>
      <x:c r="H95" s="66" t="str">
        <x:v>无</x:v>
      </x:c>
      <x:c r="I95" s="66" t="str"/>
      <x:c r="J95" s="66" t="str">
        <x:v>agent/tests/unit/test_query_rewriter.py</x:v>
      </x:c>
    </x:row>
    <x:row r="96" ht="46" customHeight="1">
      <x:c r="A96" s="64" t="n">
        <x:v>95</x:v>
      </x:c>
      <x:c r="B96" s="64" t="str">
        <x:v>test_query_rewriter</x:v>
      </x:c>
      <x:c r="C96" s="66" t="str">
        <x:v>test_disabled_rewriter_does_not_call_llm</x:v>
      </x:c>
      <x:c r="D96" s="66" t="str">
        <x:v>验证关闭查询改写后不会调用 LLM。</x:v>
      </x:c>
      <x:c r="E96" s="66" t="str">
        <x:v>通过</x:v>
      </x:c>
      <x:c r="F96" s="66" t="str">
        <x:v>实际行为与测试预期一致，该项能力在本次本地运行中有效。</x:v>
      </x:c>
      <x:c r="G96" s="68" t="n">
        <x:v>0.005</x:v>
      </x:c>
      <x:c r="H96" s="66" t="str">
        <x:v>无</x:v>
      </x:c>
      <x:c r="I96" s="66" t="str"/>
      <x:c r="J96" s="66" t="str">
        <x:v>agent/tests/unit/test_query_rewriter.py</x:v>
      </x:c>
    </x:row>
    <x:row r="97" ht="46" customHeight="1">
      <x:c r="A97" s="64" t="n">
        <x:v>96</x:v>
      </x:c>
      <x:c r="B97" s="64" t="str">
        <x:v>test_query_rewriter</x:v>
      </x:c>
      <x:c r="C97" s="66" t="str">
        <x:v>test_empty_query_does_not_call_llm</x:v>
      </x:c>
      <x:c r="D97" s="66" t="str">
        <x:v>验证空问题不会触发 LLM 调用。</x:v>
      </x:c>
      <x:c r="E97" s="66" t="str">
        <x:v>通过</x:v>
      </x:c>
      <x:c r="F97" s="66" t="str">
        <x:v>实际行为与测试预期一致，该项能力在本次本地运行中有效。</x:v>
      </x:c>
      <x:c r="G97" s="68" t="n">
        <x:v>0.003</x:v>
      </x:c>
      <x:c r="H97" s="66" t="str">
        <x:v>无</x:v>
      </x:c>
      <x:c r="I97" s="66" t="str"/>
      <x:c r="J97" s="66" t="str">
        <x:v>agent/tests/unit/test_query_rewriter.py</x:v>
      </x:c>
    </x:row>
    <x:row r="98" ht="46" customHeight="1">
      <x:c r="A98" s="64" t="n">
        <x:v>97</x:v>
      </x:c>
      <x:c r="B98" s="64" t="str">
        <x:v>test_query_understanding</x:v>
      </x:c>
      <x:c r="C98" s="66" t="str">
        <x:v>test_analyze_combines_internal_results_into_query_plan</x:v>
      </x:c>
      <x:c r="D98" s="66" t="str">
        <x:v>验证 QueryUnderstanding 将三个内部结果合并为 QueryPlan。</x:v>
      </x:c>
      <x:c r="E98" s="66" t="str">
        <x:v>通过</x:v>
      </x:c>
      <x:c r="F98" s="66" t="str">
        <x:v>实际行为与测试预期一致，该项能力在本次本地运行中有效。</x:v>
      </x:c>
      <x:c r="G98" s="68" t="n">
        <x:v>0.004</x:v>
      </x:c>
      <x:c r="H98" s="66" t="str">
        <x:v>无</x:v>
      </x:c>
      <x:c r="I98" s="66" t="str"/>
      <x:c r="J98" s="66" t="str">
        <x:v>agent/tests/unit/test_query_understanding.py</x:v>
      </x:c>
    </x:row>
    <x:row r="99" ht="46" customHeight="1">
      <x:c r="A99" s="64" t="n">
        <x:v>98</x:v>
      </x:c>
      <x:c r="B99" s="64" t="str">
        <x:v>test_query_understanding</x:v>
      </x:c>
      <x:c r="C99" s="66" t="str">
        <x:v>test_clarification_stops_query_rewriting</x:v>
      </x:c>
      <x:c r="D99" s="66" t="str">
        <x:v>验证需要澄清时立即停止查询改写。</x:v>
      </x:c>
      <x:c r="E99" s="66" t="str">
        <x:v>通过</x:v>
      </x:c>
      <x:c r="F99" s="66" t="str">
        <x:v>实际行为与测试预期一致，该项能力在本次本地运行中有效。</x:v>
      </x:c>
      <x:c r="G99" s="68" t="n">
        <x:v>0.005</x:v>
      </x:c>
      <x:c r="H99" s="66" t="str">
        <x:v>无</x:v>
      </x:c>
      <x:c r="I99" s="66" t="str"/>
      <x:c r="J99" s="66" t="str">
        <x:v>agent/tests/unit/test_query_understanding.py</x:v>
      </x:c>
    </x:row>
    <x:row r="100" ht="46" customHeight="1">
      <x:c r="A100" s="64" t="n">
        <x:v>99</x:v>
      </x:c>
      <x:c r="B100" s="64" t="str">
        <x:v>test_query_understanding</x:v>
      </x:c>
      <x:c r="C100" s="66" t="str">
        <x:v>test_analyze_preserves_exact_original_query</x:v>
      </x:c>
      <x:c r="D100" s="66" t="str">
        <x:v>验证统一分析入口完整保留当前 ChatRequest.query。</x:v>
      </x:c>
      <x:c r="E100" s="66" t="str">
        <x:v>通过</x:v>
      </x:c>
      <x:c r="F100" s="66" t="str">
        <x:v>实际行为与测试预期一致，该项能力在本次本地运行中有效。</x:v>
      </x:c>
      <x:c r="G100" s="68" t="n">
        <x:v>0.004</x:v>
      </x:c>
      <x:c r="H100" s="66" t="str">
        <x:v>无</x:v>
      </x:c>
      <x:c r="I100" s="66" t="str"/>
      <x:c r="J100" s="66" t="str">
        <x:v>agent/tests/unit/test_query_understanding.py</x:v>
      </x:c>
    </x:row>
    <x:row r="101" ht="46" customHeight="1">
      <x:c r="A101" s="64" t="n">
        <x:v>100</x:v>
      </x:c>
      <x:c r="B101" s="64" t="str">
        <x:v>test_query_understanding</x:v>
      </x:c>
      <x:c r="C101" s="66" t="str">
        <x:v>test_analyze_does_not_mutate_history_or_filters</x:v>
      </x:c>
      <x:c r="D101" s="66" t="str">
        <x:v>验证 QueryUnderstanding 不修改历史和请求过滤条件。</x:v>
      </x:c>
      <x:c r="E101" s="66" t="str">
        <x:v>通过</x:v>
      </x:c>
      <x:c r="F101" s="66" t="str">
        <x:v>实际行为与测试预期一致，该项能力在本次本地运行中有效。</x:v>
      </x:c>
      <x:c r="G101" s="68" t="n">
        <x:v>0.006</x:v>
      </x:c>
      <x:c r="H101" s="66" t="str">
        <x:v>无</x:v>
      </x:c>
      <x:c r="I101" s="66" t="str"/>
      <x:c r="J101" s="66" t="str">
        <x:v>agent/tests/unit/test_query_understanding.py</x:v>
      </x:c>
    </x:row>
    <x:row r="102" ht="46" customHeight="1">
      <x:c r="A102" s="64" t="n">
        <x:v>101</x:v>
      </x:c>
      <x:c r="B102" s="64" t="str">
        <x:v>test_query_understanding</x:v>
      </x:c>
      <x:c r="C102" s="66" t="str">
        <x:v>test_analyze_rejects_invalid_query[]</x:v>
      </x:c>
      <x:c r="D102" s="66" t="str">
        <x:v>验证统一分析入口拒绝空或无效问题。</x:v>
      </x:c>
      <x:c r="E102" s="66" t="str">
        <x:v>通过</x:v>
      </x:c>
      <x:c r="F102" s="66" t="str">
        <x:v>实际行为与测试预期一致，该项能力在本次本地运行中有效。</x:v>
      </x:c>
      <x:c r="G102" s="68" t="n">
        <x:v>0.006</x:v>
      </x:c>
      <x:c r="H102" s="66" t="str">
        <x:v>无</x:v>
      </x:c>
      <x:c r="I102" s="66" t="str"/>
      <x:c r="J102" s="66" t="str">
        <x:v>agent/tests/unit/test_query_understanding.py</x:v>
      </x:c>
    </x:row>
    <x:row r="103" ht="46" customHeight="1">
      <x:c r="A103" s="64" t="n">
        <x:v>102</x:v>
      </x:c>
      <x:c r="B103" s="64" t="str">
        <x:v>test_query_understanding</x:v>
      </x:c>
      <x:c r="C103" s="66" t="str">
        <x:v>test_analyze_rejects_invalid_query[   ]</x:v>
      </x:c>
      <x:c r="D103" s="66" t="str">
        <x:v>验证统一分析入口拒绝空或无效问题。</x:v>
      </x:c>
      <x:c r="E103" s="66" t="str">
        <x:v>通过</x:v>
      </x:c>
      <x:c r="F103" s="66" t="str">
        <x:v>实际行为与测试预期一致，该项能力在本次本地运行中有效。</x:v>
      </x:c>
      <x:c r="G103" s="68" t="n">
        <x:v>0.004</x:v>
      </x:c>
      <x:c r="H103" s="66" t="str">
        <x:v>无</x:v>
      </x:c>
      <x:c r="I103" s="66" t="str"/>
      <x:c r="J103" s="66" t="str">
        <x:v>agent/tests/unit/test_query_understanding.py</x:v>
      </x:c>
    </x:row>
    <x:row r="104" ht="46" customHeight="1">
      <x:c r="A104" s="64" t="n">
        <x:v>103</x:v>
      </x:c>
      <x:c r="B104" s="64" t="str">
        <x:v>test_query_understanding</x:v>
      </x:c>
      <x:c r="C104" s="66" t="str">
        <x:v>test_analyze_rejects_invalid_query[None]</x:v>
      </x:c>
      <x:c r="D104" s="66" t="str">
        <x:v>验证统一分析入口拒绝空或无效问题。</x:v>
      </x:c>
      <x:c r="E104" s="66" t="str">
        <x:v>通过</x:v>
      </x:c>
      <x:c r="F104" s="66" t="str">
        <x:v>实际行为与测试预期一致，该项能力在本次本地运行中有效。</x:v>
      </x:c>
      <x:c r="G104" s="68" t="n">
        <x:v>0.005</x:v>
      </x:c>
      <x:c r="H104" s="66" t="str">
        <x:v>无</x:v>
      </x:c>
      <x:c r="I104" s="66" t="str"/>
      <x:c r="J104" s="66" t="str">
        <x:v>agent/tests/unit/test_query_understanding.py</x:v>
      </x:c>
    </x:row>
    <x:row r="105" ht="46" customHeight="1">
      <x:c r="A105" s="64" t="n">
        <x:v>104</x:v>
      </x:c>
      <x:c r="B105" s="64" t="str">
        <x:v>test_status_mapping</x:v>
      </x:c>
      <x:c r="C105" s="66" t="str">
        <x:v>test_status_codes_are_defined</x:v>
      </x:c>
      <x:c r="D105" s="66" t="str">
        <x:v>验证 Web-Agent 契约要求的状态码均已定义。</x:v>
      </x:c>
      <x:c r="E105" s="66" t="str">
        <x:v>通过</x:v>
      </x:c>
      <x:c r="F105" s="66" t="str">
        <x:v>实际行为与测试预期一致，该项能力在本次本地运行中有效。</x:v>
      </x:c>
      <x:c r="G105" s="68" t="n">
        <x:v>0.005</x:v>
      </x:c>
      <x:c r="H105" s="66" t="str">
        <x:v>无</x:v>
      </x:c>
      <x:c r="I105" s="66" t="str"/>
      <x:c r="J105" s="66" t="str">
        <x:v>agent/tests/unit/test_status_mapping.py</x:v>
      </x:c>
    </x:row>
    <x:row r="106" ht="46" customHeight="1">
      <x:c r="A106" s="64" t="n">
        <x:v>105</x:v>
      </x:c>
      <x:c r="B106" s="64" t="str">
        <x:v>test_tool_registry</x:v>
      </x:c>
      <x:c r="C106" s="66" t="str">
        <x:v>test_adapter_get_delegates_to_toolset_registry</x:v>
      </x:c>
      <x:c r="D106" s="66" t="str">
        <x:v>验证 Adapter 将工具查询委托给 Toolset Registry。</x:v>
      </x:c>
      <x:c r="E106" s="66" t="str">
        <x:v>通过</x:v>
      </x:c>
      <x:c r="F106" s="66" t="str">
        <x:v>实际行为与测试预期一致，该项能力在本次本地运行中有效。</x:v>
      </x:c>
      <x:c r="G106" s="68" t="n">
        <x:v>0.005</x:v>
      </x:c>
      <x:c r="H106" s="66" t="str">
        <x:v>无</x:v>
      </x:c>
      <x:c r="I106" s="66" t="str"/>
      <x:c r="J106" s="66" t="str">
        <x:v>agent/tests/unit/test_tool_registry.py</x:v>
      </x:c>
    </x:row>
    <x:row r="107" ht="46" customHeight="1">
      <x:c r="A107" s="64" t="n">
        <x:v>106</x:v>
      </x:c>
      <x:c r="B107" s="64" t="str">
        <x:v>test_tool_registry</x:v>
      </x:c>
      <x:c r="C107" s="66" t="str">
        <x:v>test_adapter_lists_toolset_owned_tools</x:v>
      </x:c>
      <x:c r="D107" s="66" t="str">
        <x:v>验证 Adapter 返回 Toolset 实际持有的工具列表。</x:v>
      </x:c>
      <x:c r="E107" s="66" t="str">
        <x:v>通过</x:v>
      </x:c>
      <x:c r="F107" s="66" t="str">
        <x:v>实际行为与测试预期一致，该项能力在本次本地运行中有效。</x:v>
      </x:c>
      <x:c r="G107" s="68" t="n">
        <x:v>0.004</x:v>
      </x:c>
      <x:c r="H107" s="66" t="str">
        <x:v>无</x:v>
      </x:c>
      <x:c r="I107" s="66" t="str"/>
      <x:c r="J107" s="66" t="str">
        <x:v>agent/tests/unit/test_tool_registry.py</x:v>
      </x:c>
    </x:row>
    <x:row r="108" ht="46" customHeight="1">
      <x:c r="A108" s="64" t="n">
        <x:v>107</x:v>
      </x:c>
      <x:c r="B108" s="64" t="str">
        <x:v>test_tool_registry</x:v>
      </x:c>
      <x:c r="C108" s="66" t="str">
        <x:v>test_adapter_does_not_keep_a_second_tool_mapping</x:v>
      </x:c>
      <x:c r="D108" s="66" t="str">
        <x:v>验证 Agent Adapter 不维护第二份工具映射。</x:v>
      </x:c>
      <x:c r="E108" s="66" t="str">
        <x:v>通过</x:v>
      </x:c>
      <x:c r="F108" s="66" t="str">
        <x:v>实际行为与测试预期一致，该项能力在本次本地运行中有效。</x:v>
      </x:c>
      <x:c r="G108" s="68" t="n">
        <x:v>0.004</x:v>
      </x:c>
      <x:c r="H108" s="66" t="str">
        <x:v>无</x:v>
      </x:c>
      <x:c r="I108" s="66" t="str"/>
      <x:c r="J108" s="66" t="str">
        <x:v>agent/tests/unit/test_tool_registry.py</x:v>
      </x:c>
    </x:row>
    <x:row r="109" ht="46" customHeight="1">
      <x:c r="A109" s="64" t="n">
        <x:v>108</x:v>
      </x:c>
      <x:c r="B109" s="64" t="str">
        <x:v>test_tool_registry</x:v>
      </x:c>
      <x:c r="C109" s="66" t="str">
        <x:v>test_toolset_updates_are_immediately_visible_through_adapter</x:v>
      </x:c>
      <x:c r="D109" s="66" t="str">
        <x:v>验证 Toolset 注册变化能立即通过 Adapter 可见。</x:v>
      </x:c>
      <x:c r="E109" s="66" t="str">
        <x:v>通过</x:v>
      </x:c>
      <x:c r="F109" s="66" t="str">
        <x:v>实际行为与测试预期一致，该项能力在本次本地运行中有效。</x:v>
      </x:c>
      <x:c r="G109" s="68" t="n">
        <x:v>0.003</x:v>
      </x:c>
      <x:c r="H109" s="66" t="str">
        <x:v>无</x:v>
      </x:c>
      <x:c r="I109" s="66" t="str"/>
      <x:c r="J109" s="66" t="str">
        <x:v>agent/tests/unit/test_tool_registry.py</x:v>
      </x:c>
    </x:row>
    <x:row r="110" ht="46" customHeight="1">
      <x:c r="A110" s="64" t="n">
        <x:v>109</x:v>
      </x:c>
      <x:c r="B110" s="64" t="str">
        <x:v>test_tool_registry</x:v>
      </x:c>
      <x:c r="C110" s="66" t="str">
        <x:v>test_openai_schemas_are_generated_by_toolset_registry</x:v>
      </x:c>
      <x:c r="D110" s="66" t="str">
        <x:v>验证 OpenAI Tool Schema 由 Toolset Registry 生成。</x:v>
      </x:c>
      <x:c r="E110" s="66" t="str">
        <x:v>通过</x:v>
      </x:c>
      <x:c r="F110" s="66" t="str">
        <x:v>实际行为与测试预期一致，该项能力在本次本地运行中有效。</x:v>
      </x:c>
      <x:c r="G110" s="68" t="n">
        <x:v>0.005</x:v>
      </x:c>
      <x:c r="H110" s="66" t="str">
        <x:v>无</x:v>
      </x:c>
      <x:c r="I110" s="66" t="str"/>
      <x:c r="J110" s="66" t="str">
        <x:v>agent/tests/unit/test_tool_registry.py</x:v>
      </x:c>
    </x:row>
    <x:row r="111" ht="46" customHeight="1">
      <x:c r="A111" s="64" t="n">
        <x:v>110</x:v>
      </x:c>
      <x:c r="B111" s="64" t="str">
        <x:v>test_tool_registry</x:v>
      </x:c>
      <x:c r="C111" s="66" t="str">
        <x:v>test_adapter_exposes_public_tool_metadata</x:v>
      </x:c>
      <x:c r="D111" s="66" t="str">
        <x:v>验证 Adapter 提供稳定的公开工具元数据。</x:v>
      </x:c>
      <x:c r="E111" s="66" t="str">
        <x:v>通过</x:v>
      </x:c>
      <x:c r="F111" s="66" t="str">
        <x:v>实际行为与测试预期一致，该项能力在本次本地运行中有效。</x:v>
      </x:c>
      <x:c r="G111" s="68" t="n">
        <x:v>0.003</x:v>
      </x:c>
      <x:c r="H111" s="66" t="str">
        <x:v>无</x:v>
      </x:c>
      <x:c r="I111" s="66" t="str"/>
      <x:c r="J111" s="66" t="str">
        <x:v>agent/tests/unit/test_tool_registry.py</x:v>
      </x:c>
    </x:row>
    <x:row r="112" ht="46" customHeight="1">
      <x:c r="A112" s="64" t="n">
        <x:v>111</x:v>
      </x:c>
      <x:c r="B112" s="64" t="str">
        <x:v>test_tool_registry</x:v>
      </x:c>
      <x:c r="C112" s="66" t="str">
        <x:v>test_cp1_read_aliases_remain_available</x:v>
      </x:c>
      <x:c r="D112" s="66" t="str">
        <x:v>验证 CP1 只读兼容接口仍然可用。</x:v>
      </x:c>
      <x:c r="E112" s="66" t="str">
        <x:v>通过</x:v>
      </x:c>
      <x:c r="F112" s="66" t="str">
        <x:v>实际行为与测试预期一致，该项能力在本次本地运行中有效。</x:v>
      </x:c>
      <x:c r="G112" s="68" t="n">
        <x:v>0.006</x:v>
      </x:c>
      <x:c r="H112" s="66" t="str">
        <x:v>无</x:v>
      </x:c>
      <x:c r="I112" s="66" t="str"/>
      <x:c r="J112" s="66" t="str">
        <x:v>agent/tests/unit/test_tool_registry.py</x:v>
      </x:c>
    </x:row>
    <x:row r="113" ht="46" customHeight="1">
      <x:c r="A113" s="64" t="n">
        <x:v>112</x:v>
      </x:c>
      <x:c r="B113" s="64" t="str">
        <x:v>test_trace_id</x:v>
      </x:c>
      <x:c r="C113" s="66" t="str">
        <x:v>test_generate_trace_id_format</x:v>
      </x:c>
      <x:c r="D113" s="66" t="str">
        <x:v>验证 trace_id 格式符合约定。</x:v>
      </x:c>
      <x:c r="E113" s="66" t="str">
        <x:v>通过</x:v>
      </x:c>
      <x:c r="F113" s="66" t="str">
        <x:v>实际行为与测试预期一致，该项能力在本次本地运行中有效。</x:v>
      </x:c>
      <x:c r="G113" s="68" t="n">
        <x:v>0.006</x:v>
      </x:c>
      <x:c r="H113" s="66" t="str">
        <x:v>无</x:v>
      </x:c>
      <x:c r="I113" s="66" t="str"/>
      <x:c r="J113" s="66" t="str">
        <x:v>agent/tests/unit/test_trace_id.py</x:v>
      </x:c>
    </x:row>
    <x:row r="114" ht="46" customHeight="1">
      <x:c r="A114" s="64" t="n">
        <x:v>113</x:v>
      </x:c>
      <x:c r="B114" s="64" t="str">
        <x:v>test_trace_id</x:v>
      </x:c>
      <x:c r="C114" s="66" t="str">
        <x:v>test_generate_trace_id_unique</x:v>
      </x:c>
      <x:c r="D114" s="66" t="str">
        <x:v>验证每次生成的 trace_id 唯一。</x:v>
      </x:c>
      <x:c r="E114" s="66" t="str">
        <x:v>通过</x:v>
      </x:c>
      <x:c r="F114" s="66" t="str">
        <x:v>实际行为与测试预期一致，该项能力在本次本地运行中有效。</x:v>
      </x:c>
      <x:c r="G114" s="68" t="n">
        <x:v>0.005</x:v>
      </x:c>
      <x:c r="H114" s="66" t="str">
        <x:v>无</x:v>
      </x:c>
      <x:c r="I114" s="66" t="str"/>
      <x:c r="J114" s="66" t="str">
        <x:v>agent/tests/unit/test_trace_id.py</x:v>
      </x:c>
    </x:row>
    <x:row r="115" ht="46" customHeight="1">
      <x:c r="A115" s="64" t="n">
        <x:v>114</x:v>
      </x:c>
      <x:c r="B115" s="64" t="str">
        <x:v>test_trace_id</x:v>
      </x:c>
      <x:c r="C115" s="66" t="str">
        <x:v>test_set_and_get_trace_id</x:v>
      </x:c>
      <x:c r="D115" s="66" t="str">
        <x:v>验证 trace_id 可在上下文中设置和读取。</x:v>
      </x:c>
      <x:c r="E115" s="66" t="str">
        <x:v>通过</x:v>
      </x:c>
      <x:c r="F115" s="66" t="str">
        <x:v>实际行为与测试预期一致，该项能力在本次本地运行中有效。</x:v>
      </x:c>
      <x:c r="G115" s="68" t="n">
        <x:v>0.005</x:v>
      </x:c>
      <x:c r="H115" s="66" t="str">
        <x:v>无</x:v>
      </x:c>
      <x:c r="I115" s="66" t="str"/>
      <x:c r="J115" s="66" t="str">
        <x:v>agent/tests/unit/test_trace_id.py</x:v>
      </x:c>
    </x:row>
    <x:row r="116" ht="46" customHeight="1">
      <x:c r="A116" s="64" t="n">
        <x:v>115</x:v>
      </x:c>
      <x:c r="B116" s="64" t="str">
        <x:v>test_trace_id</x:v>
      </x:c>
      <x:c r="C116" s="66" t="str">
        <x:v>test_trace_context</x:v>
      </x:c>
      <x:c r="D116" s="66" t="str">
        <x:v>验证 Trace 上下文进入和退出时正确恢复。</x:v>
      </x:c>
      <x:c r="E116" s="66" t="str">
        <x:v>通过</x:v>
      </x:c>
      <x:c r="F116" s="66" t="str">
        <x:v>实际行为与测试预期一致，该项能力在本次本地运行中有效。</x:v>
      </x:c>
      <x:c r="G116" s="68" t="n">
        <x:v>0.005</x:v>
      </x:c>
      <x:c r="H116" s="66" t="str">
        <x:v>无</x:v>
      </x:c>
      <x:c r="I116" s="66" t="str"/>
      <x:c r="J116" s="66" t="str">
        <x:v>agent/tests/unit/test_trace_id.py</x:v>
      </x:c>
    </x:row>
    <x:row r="117" ht="46" customHeight="1">
      <x:c r="A117" s="65" t="n">
        <x:v>116</x:v>
      </x:c>
      <x:c r="B117" s="65" t="str">
        <x:v>test_trace_id</x:v>
      </x:c>
      <x:c r="C117" s="67" t="str">
        <x:v>test_with_trace_id_decorator</x:v>
      </x:c>
      <x:c r="D117" s="67" t="str">
        <x:v>验证装饰器能自动绑定 trace_id。</x:v>
      </x:c>
      <x:c r="E117" s="67" t="str">
        <x:v>通过</x:v>
      </x:c>
      <x:c r="F117" s="67" t="str">
        <x:v>实际行为与测试预期一致，该项能力在本次本地运行中有效。</x:v>
      </x:c>
      <x:c r="G117" s="69" t="n">
        <x:v>0.006</x:v>
      </x:c>
      <x:c r="H117" s="67" t="str">
        <x:v>无</x:v>
      </x:c>
      <x:c r="I117" s="67" t="str"/>
      <x:c r="J117" s="67" t="str">
        <x:v>agent/tests/unit/test_trace_id.py</x:v>
      </x:c>
    </x:row>
  </x:sheetData>
  <x:conditionalFormatting sqref="E2:E117">
    <x:cfRule type="containsText" dxfId="0" priority="1" operator="containsText" text="通过"/>
    <x:cfRule type="containsText" dxfId="1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cac56feaebd546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70" t="str">
        <x:v>模块</x:v>
      </x:c>
      <x:c r="B1" s="70" t="str">
        <x:v>测试数</x:v>
      </x:c>
      <x:c r="C1" s="70" t="str">
        <x:v>通过</x:v>
      </x:c>
      <x:c r="D1" s="70" t="str">
        <x:v>失败</x:v>
      </x:c>
      <x:c r="E1" s="70" t="str">
        <x:v>通过率</x:v>
      </x:c>
      <x:c r="F1" s="70" t="str">
        <x:v>总耗时（秒）</x:v>
      </x:c>
    </x:row>
    <x:row r="2">
      <x:c r="A2" s="9" t="str">
        <x:v>test_agent</x:v>
      </x:c>
      <x:c r="B2" s="9" t="n">
        <x:f>COUNTIF('测试明细'!$B$2:$B$117,A2)</x:f>
        <x:v>8</x:v>
      </x:c>
      <x:c r="C2" s="9" t="n">
        <x:f>COUNTIFS('测试明细'!$B$2:$B$117,A2,'测试明细'!$E$2:$E$117,"通过")</x:f>
        <x:v>5</x:v>
      </x:c>
      <x:c r="D2" s="9" t="n">
        <x:f>COUNTIFS('测试明细'!$B$2:$B$117,A2,'测试明细'!$E$2:$E$117,"失败")</x:f>
        <x:v>3</x:v>
      </x:c>
      <x:c r="E2" s="11" t="n">
        <x:f>IF(B2=0,0,C2/B2)</x:f>
        <x:v>0.625</x:v>
      </x:c>
      <x:c r="F2" s="12" t="n">
        <x:f>SUMIF('测试明细'!$B$2:$B$117,A2,'测试明细'!$G$2:$G$117)</x:f>
        <x:v>115.62400000000001</x:v>
      </x:c>
    </x:row>
    <x:row r="3">
      <x:c r="A3" s="9" t="str">
        <x:v>test_answer_formatter</x:v>
      </x:c>
      <x:c r="B3" s="9" t="n">
        <x:f>COUNTIF('测试明细'!$B$2:$B$117,A3)</x:f>
        <x:v>3</x:v>
      </x:c>
      <x:c r="C3" s="9" t="n">
        <x:f>COUNTIFS('测试明细'!$B$2:$B$117,A3,'测试明细'!$E$2:$E$117,"通过")</x:f>
        <x:v>3</x:v>
      </x:c>
      <x:c r="D3" s="9" t="n">
        <x:f>COUNTIFS('测试明细'!$B$2:$B$117,A3,'测试明细'!$E$2:$E$117,"失败")</x:f>
        <x:v>0</x:v>
      </x:c>
      <x:c r="E3" s="11" t="n">
        <x:f>IF(B3=0,0,C3/B3)</x:f>
        <x:v>1</x:v>
      </x:c>
      <x:c r="F3" s="12" t="n">
        <x:f>SUMIF('测试明细'!$B$2:$B$117,A3,'测试明细'!$G$2:$G$117)</x:f>
        <x:v>0.019000000000000003</x:v>
      </x:c>
    </x:row>
    <x:row r="4">
      <x:c r="A4" s="9" t="str">
        <x:v>test_clarification</x:v>
      </x:c>
      <x:c r="B4" s="9" t="n">
        <x:f>COUNTIF('测试明细'!$B$2:$B$117,A4)</x:f>
        <x:v>16</x:v>
      </x:c>
      <x:c r="C4" s="9" t="n">
        <x:f>COUNTIFS('测试明细'!$B$2:$B$117,A4,'测试明细'!$E$2:$E$117,"通过")</x:f>
        <x:v>16</x:v>
      </x:c>
      <x:c r="D4" s="9" t="n">
        <x:f>COUNTIFS('测试明细'!$B$2:$B$117,A4,'测试明细'!$E$2:$E$117,"失败")</x:f>
        <x:v>0</x:v>
      </x:c>
      <x:c r="E4" s="11" t="n">
        <x:f>IF(B4=0,0,C4/B4)</x:f>
        <x:v>1</x:v>
      </x:c>
      <x:c r="F4" s="12" t="n">
        <x:f>SUMIF('测试明细'!$B$2:$B$117,A4,'测试明细'!$G$2:$G$117)</x:f>
        <x:v>0.08800000000000002</x:v>
      </x:c>
    </x:row>
    <x:row r="5">
      <x:c r="A5" s="9" t="str">
        <x:v>test_intent_classifier</x:v>
      </x:c>
      <x:c r="B5" s="9" t="n">
        <x:f>COUNTIF('测试明细'!$B$2:$B$117,A5)</x:f>
        <x:v>23</x:v>
      </x:c>
      <x:c r="C5" s="9" t="n">
        <x:f>COUNTIFS('测试明细'!$B$2:$B$117,A5,'测试明细'!$E$2:$E$117,"通过")</x:f>
        <x:v>23</x:v>
      </x:c>
      <x:c r="D5" s="9" t="n">
        <x:f>COUNTIFS('测试明细'!$B$2:$B$117,A5,'测试明细'!$E$2:$E$117,"失败")</x:f>
        <x:v>0</x:v>
      </x:c>
      <x:c r="E5" s="11" t="n">
        <x:f>IF(B5=0,0,C5/B5)</x:f>
        <x:v>1</x:v>
      </x:c>
      <x:c r="F5" s="12" t="n">
        <x:f>SUMIF('测试明细'!$B$2:$B$117,A5,'测试明细'!$G$2:$G$117)</x:f>
        <x:v>0.11400000000000003</x:v>
      </x:c>
    </x:row>
    <x:row r="6">
      <x:c r="A6" s="9" t="str">
        <x:v>test_intent_policy</x:v>
      </x:c>
      <x:c r="B6" s="9" t="n">
        <x:f>COUNTIF('测试明细'!$B$2:$B$117,A6)</x:f>
        <x:v>10</x:v>
      </x:c>
      <x:c r="C6" s="9" t="n">
        <x:f>COUNTIFS('测试明细'!$B$2:$B$117,A6,'测试明细'!$E$2:$E$117,"通过")</x:f>
        <x:v>10</x:v>
      </x:c>
      <x:c r="D6" s="9" t="n">
        <x:f>COUNTIFS('测试明细'!$B$2:$B$117,A6,'测试明细'!$E$2:$E$117,"失败")</x:f>
        <x:v>0</x:v>
      </x:c>
      <x:c r="E6" s="11" t="n">
        <x:f>IF(B6=0,0,C6/B6)</x:f>
        <x:v>1</x:v>
      </x:c>
      <x:c r="F6" s="12" t="n">
        <x:f>SUMIF('测试明细'!$B$2:$B$117,A6,'测试明细'!$G$2:$G$117)</x:f>
        <x:v>0.046000000000000006</x:v>
      </x:c>
    </x:row>
    <x:row r="7">
      <x:c r="A7" s="9" t="str">
        <x:v>test_logger</x:v>
      </x:c>
      <x:c r="B7" s="9" t="n">
        <x:f>COUNTIF('测试明细'!$B$2:$B$117,A7)</x:f>
        <x:v>5</x:v>
      </x:c>
      <x:c r="C7" s="9" t="n">
        <x:f>COUNTIFS('测试明细'!$B$2:$B$117,A7,'测试明细'!$E$2:$E$117,"通过")</x:f>
        <x:v>5</x:v>
      </x:c>
      <x:c r="D7" s="9" t="n">
        <x:f>COUNTIFS('测试明细'!$B$2:$B$117,A7,'测试明细'!$E$2:$E$117,"失败")</x:f>
        <x:v>0</x:v>
      </x:c>
      <x:c r="E7" s="11" t="n">
        <x:f>IF(B7=0,0,C7/B7)</x:f>
        <x:v>1</x:v>
      </x:c>
      <x:c r="F7" s="12" t="n">
        <x:f>SUMIF('测试明细'!$B$2:$B$117,A7,'测试明细'!$G$2:$G$117)</x:f>
        <x:v>0.021</x:v>
      </x:c>
    </x:row>
    <x:row r="8">
      <x:c r="A8" s="9" t="str">
        <x:v>test_prompt_builder</x:v>
      </x:c>
      <x:c r="B8" s="9" t="n">
        <x:f>COUNTIF('测试明细'!$B$2:$B$117,A8)</x:f>
        <x:v>1</x:v>
      </x:c>
      <x:c r="C8" s="9" t="n">
        <x:f>COUNTIFS('测试明细'!$B$2:$B$117,A8,'测试明细'!$E$2:$E$117,"通过")</x:f>
        <x:v>1</x:v>
      </x:c>
      <x:c r="D8" s="9" t="n">
        <x:f>COUNTIFS('测试明细'!$B$2:$B$117,A8,'测试明细'!$E$2:$E$117,"失败")</x:f>
        <x:v>0</x:v>
      </x:c>
      <x:c r="E8" s="11" t="n">
        <x:f>IF(B8=0,0,C8/B8)</x:f>
        <x:v>1</x:v>
      </x:c>
      <x:c r="F8" s="12" t="n">
        <x:f>SUMIF('测试明细'!$B$2:$B$117,A8,'测试明细'!$G$2:$G$117)</x:f>
        <x:v>0.005</x:v>
      </x:c>
    </x:row>
    <x:row r="9">
      <x:c r="A9" s="9" t="str">
        <x:v>test_query_plan</x:v>
      </x:c>
      <x:c r="B9" s="9" t="n">
        <x:f>COUNTIF('测试明细'!$B$2:$B$117,A9)</x:f>
        <x:v>17</x:v>
      </x:c>
      <x:c r="C9" s="9" t="n">
        <x:f>COUNTIFS('测试明细'!$B$2:$B$117,A9,'测试明细'!$E$2:$E$117,"通过")</x:f>
        <x:v>17</x:v>
      </x:c>
      <x:c r="D9" s="9" t="n">
        <x:f>COUNTIFS('测试明细'!$B$2:$B$117,A9,'测试明细'!$E$2:$E$117,"失败")</x:f>
        <x:v>0</x:v>
      </x:c>
      <x:c r="E9" s="11" t="n">
        <x:f>IF(B9=0,0,C9/B9)</x:f>
        <x:v>1</x:v>
      </x:c>
      <x:c r="F9" s="12" t="n">
        <x:f>SUMIF('测试明细'!$B$2:$B$117,A9,'测试明细'!$G$2:$G$117)</x:f>
        <x:v>0.078</x:v>
      </x:c>
    </x:row>
    <x:row r="10">
      <x:c r="A10" s="9" t="str">
        <x:v>test_query_rewriter</x:v>
      </x:c>
      <x:c r="B10" s="9" t="n">
        <x:f>COUNTIF('测试明细'!$B$2:$B$117,A10)</x:f>
        <x:v>13</x:v>
      </x:c>
      <x:c r="C10" s="9" t="n">
        <x:f>COUNTIFS('测试明细'!$B$2:$B$117,A10,'测试明细'!$E$2:$E$117,"通过")</x:f>
        <x:v>13</x:v>
      </x:c>
      <x:c r="D10" s="9" t="n">
        <x:f>COUNTIFS('测试明细'!$B$2:$B$117,A10,'测试明细'!$E$2:$E$117,"失败")</x:f>
        <x:v>0</x:v>
      </x:c>
      <x:c r="E10" s="11" t="n">
        <x:f>IF(B10=0,0,C10/B10)</x:f>
        <x:v>1</x:v>
      </x:c>
      <x:c r="F10" s="12" t="n">
        <x:f>SUMIF('测试明细'!$B$2:$B$117,A10,'测试明细'!$G$2:$G$117)</x:f>
        <x:v>0.060000000000000005</x:v>
      </x:c>
    </x:row>
    <x:row r="11">
      <x:c r="A11" s="9" t="str">
        <x:v>test_query_understanding</x:v>
      </x:c>
      <x:c r="B11" s="9" t="n">
        <x:f>COUNTIF('测试明细'!$B$2:$B$117,A11)</x:f>
        <x:v>7</x:v>
      </x:c>
      <x:c r="C11" s="9" t="n">
        <x:f>COUNTIFS('测试明细'!$B$2:$B$117,A11,'测试明细'!$E$2:$E$117,"通过")</x:f>
        <x:v>7</x:v>
      </x:c>
      <x:c r="D11" s="9" t="n">
        <x:f>COUNTIFS('测试明细'!$B$2:$B$117,A11,'测试明细'!$E$2:$E$117,"失败")</x:f>
        <x:v>0</x:v>
      </x:c>
      <x:c r="E11" s="11" t="n">
        <x:f>IF(B11=0,0,C11/B11)</x:f>
        <x:v>1</x:v>
      </x:c>
      <x:c r="F11" s="12" t="n">
        <x:f>SUMIF('测试明细'!$B$2:$B$117,A11,'测试明细'!$G$2:$G$117)</x:f>
        <x:v>0.034</x:v>
      </x:c>
    </x:row>
    <x:row r="12">
      <x:c r="A12" s="9" t="str">
        <x:v>test_status_mapping</x:v>
      </x:c>
      <x:c r="B12" s="9" t="n">
        <x:f>COUNTIF('测试明细'!$B$2:$B$117,A12)</x:f>
        <x:v>1</x:v>
      </x:c>
      <x:c r="C12" s="9" t="n">
        <x:f>COUNTIFS('测试明细'!$B$2:$B$117,A12,'测试明细'!$E$2:$E$117,"通过")</x:f>
        <x:v>1</x:v>
      </x:c>
      <x:c r="D12" s="9" t="n">
        <x:f>COUNTIFS('测试明细'!$B$2:$B$117,A12,'测试明细'!$E$2:$E$117,"失败")</x:f>
        <x:v>0</x:v>
      </x:c>
      <x:c r="E12" s="11" t="n">
        <x:f>IF(B12=0,0,C12/B12)</x:f>
        <x:v>1</x:v>
      </x:c>
      <x:c r="F12" s="12" t="n">
        <x:f>SUMIF('测试明细'!$B$2:$B$117,A12,'测试明细'!$G$2:$G$117)</x:f>
        <x:v>0.005</x:v>
      </x:c>
    </x:row>
    <x:row r="13">
      <x:c r="A13" s="9" t="str">
        <x:v>test_tool_registry</x:v>
      </x:c>
      <x:c r="B13" s="9" t="n">
        <x:f>COUNTIF('测试明细'!$B$2:$B$117,A13)</x:f>
        <x:v>7</x:v>
      </x:c>
      <x:c r="C13" s="9" t="n">
        <x:f>COUNTIFS('测试明细'!$B$2:$B$117,A13,'测试明细'!$E$2:$E$117,"通过")</x:f>
        <x:v>7</x:v>
      </x:c>
      <x:c r="D13" s="9" t="n">
        <x:f>COUNTIFS('测试明细'!$B$2:$B$117,A13,'测试明细'!$E$2:$E$117,"失败")</x:f>
        <x:v>0</x:v>
      </x:c>
      <x:c r="E13" s="11" t="n">
        <x:f>IF(B13=0,0,C13/B13)</x:f>
        <x:v>1</x:v>
      </x:c>
      <x:c r="F13" s="12" t="n">
        <x:f>SUMIF('测试明细'!$B$2:$B$117,A13,'测试明细'!$G$2:$G$117)</x:f>
        <x:v>0.03</x:v>
      </x:c>
    </x:row>
    <x:row r="14">
      <x:c r="A14" s="9" t="str">
        <x:v>test_trace_id</x:v>
      </x:c>
      <x:c r="B14" s="9" t="n">
        <x:f>COUNTIF('测试明细'!$B$2:$B$117,A14)</x:f>
        <x:v>5</x:v>
      </x:c>
      <x:c r="C14" s="9" t="n">
        <x:f>COUNTIFS('测试明细'!$B$2:$B$117,A14,'测试明细'!$E$2:$E$117,"通过")</x:f>
        <x:v>5</x:v>
      </x:c>
      <x:c r="D14" s="9" t="n">
        <x:f>COUNTIFS('测试明细'!$B$2:$B$117,A14,'测试明细'!$E$2:$E$117,"失败")</x:f>
        <x:v>0</x:v>
      </x:c>
      <x:c r="E14" s="11" t="n">
        <x:f>IF(B14=0,0,C14/B14)</x:f>
        <x:v>1</x:v>
      </x:c>
      <x:c r="F14" s="12" t="n">
        <x:f>SUMIF('测试明细'!$B$2:$B$117,A14,'测试明细'!$G$2:$G$117)</x:f>
        <x:v>0.027000000000000003</x:v>
      </x:c>
    </x:row>
  </x:sheetData>
  <x:conditionalFormatting sqref="D2:D14">
    <x:cfRule type="cellIs" dxfId="2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1b87050e32ed4da4"/>
  <x:tableParts count="1">
    <x:tablePart xmlns:r="http://schemas.openxmlformats.org/officeDocument/2006/relationships" r:id="Rf78905b5656f48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72" t="str">
        <x:v>报告口径与结果解释</x:v>
      </x:c>
      <x:c r="B1" s="72"/>
      <x:c r="C1" s="72"/>
      <x:c r="D1" s="72"/>
      <x:c r="E1" s="72"/>
      <x:c r="F1" s="72"/>
    </x:row>
    <x:row r="2">
      <x:c r="A2" s="72"/>
      <x:c r="B2" s="72"/>
      <x:c r="C2" s="72"/>
      <x:c r="D2" s="72"/>
      <x:c r="E2" s="72"/>
      <x:c r="F2" s="72"/>
    </x:row>
    <x:row r="4" ht="42" customHeight="1">
      <x:c r="A4" s="14" t="str">
        <x:v>项目</x:v>
      </x:c>
      <x:c r="B4" s="14" t="str">
        <x:v>说明</x:v>
      </x:c>
    </x:row>
    <x:row r="5" ht="42" customHeight="1">
      <x:c r="A5" s="75" t="str">
        <x:v>数据来源</x:v>
      </x:c>
      <x:c r="B5" s="75" t="str">
        <x:v>D:\htc_qa\.tmp\unit-test-report\unit-tests.xml</x:v>
      </x:c>
    </x:row>
    <x:row r="6" ht="42" customHeight="1">
      <x:c r="A6" s="75" t="str">
        <x:v>测试命令</x:v>
      </x:c>
      <x:c r="B6" s="75" t="str">
        <x:v>python -m pytest tests/unit --junitxml=... -q</x:v>
      </x:c>
    </x:row>
    <x:row r="7" ht="42" customHeight="1">
      <x:c r="A7" s="75" t="str">
        <x:v>通过</x:v>
      </x:c>
      <x:c r="B7" s="75" t="str">
        <x:v>测试实际行为与断言一致。</x:v>
      </x:c>
    </x:row>
    <x:row r="8" ht="42" customHeight="1">
      <x:c r="A8" s="75" t="str">
        <x:v>失败</x:v>
      </x:c>
      <x:c r="B8" s="75" t="str">
        <x:v>测试未达到预期；需要结合失败分类判断是代码缺陷还是环境问题。</x:v>
      </x:c>
    </x:row>
    <x:row r="9" ht="42" customHeight="1">
      <x:c r="A9" s="75" t="str">
        <x:v>环境/外部依赖</x:v>
      </x:c>
      <x:c r="B9" s="75" t="str">
        <x:v>失败发生在真实模型下载、缓存权限或网络等测试边界之外，不等于纯组件逻辑回归。</x:v>
      </x:c>
    </x:row>
    <x:row r="10" ht="42" customHeight="1">
      <x:c r="A10" s="75" t="str">
        <x:v>进程清理超时</x:v>
      </x:c>
      <x:c r="B10" s="75" t="str">
        <x:v>测试用例已经执行完毕并生成 JUnit，但 pytest 进程受外部线程影响未在 120 秒内退出。</x:v>
      </x:c>
    </x:row>
  </x:sheetData>
  <x:mergeCells>
    <x:mergeCell ref="A1:F2"/>
  </x:mergeCells>
  <x:pageMargins left="0.7" right="0.7" top="0.75" bottom="0.75" header="0.3" footer="0.3"/>
</x:worksheet>
</file>